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Golden Dataset" sheetId="2" state="visible" r:id="rId4"/>
    <sheet name="Summary" sheetId="3" state="visible" r:id="rId5"/>
    <sheet name="Data Dictionary" sheetId="4" state="visible" r:id="rId6"/>
    <sheet name="Backtes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<sst xmlns="http://schemas.openxmlformats.org/spreadsheetml/2006/main" count="1153" uniqueCount="526">
  <si>
    <t xml:space="preserve">Northfield Returns Integrity: sample golden dataset</t>
  </si>
  <si>
    <t xml:space="preserve">SYNTHETIC DATA. Every row is invented to show the structure. No real customer data. All amounts are in Indian rupees (₹).</t>
  </si>
  <si>
    <t xml:space="preserve">What this is</t>
  </si>
  <si>
    <t xml:space="preserve">A golden dataset is the answer key for the returns-abuse model: past returns with a verified label (abuse type or honest).</t>
  </si>
  <si>
    <t xml:space="preserve">It is used to train the model, to measure accuracy before launch, and to test fairness. The real version is built in Phase 0.</t>
  </si>
  <si>
    <t xml:space="preserve">Tabs</t>
  </si>
  <si>
    <t xml:space="preserve">Golden Dataset: one row per past return, with facts from the source systems and the verified label.</t>
  </si>
  <si>
    <t xml:space="preserve">Data Dictionary: what each column means and which system it comes from.</t>
  </si>
  <si>
    <t xml:space="preserve">Summary: counts and shares by label and by label source. Calculated with formulas, so it updates if rows change.</t>
  </si>
  <si>
    <t xml:space="preserve">Backtest: the MVP scoring rules written as formulas, run against every row. Shows accuracy, abusers caught and loss prevented, and lets you change the threshold.</t>
  </si>
  <si>
    <t xml:space="preserve">How to read a row</t>
  </si>
  <si>
    <t xml:space="preserve">Columns A–H are facts joined from orders, payments, carrier tracking and account data.</t>
  </si>
  <si>
    <t xml:space="preserve">analyst_label is the verified answer. label_source says how we know it is right.</t>
  </si>
  <si>
    <t xml:space="preserve">The first three rows are the worked examples from the presentation.</t>
  </si>
  <si>
    <t xml:space="preserve">How the real dataset differs</t>
  </si>
  <si>
    <t xml:space="preserve">Size: about 50,000–200,000 labelled returns, not 200.</t>
  </si>
  <si>
    <t xml:space="preserve">Location: a table in Northfield's data warehouse, queried by the data science team, not an Excel file.</t>
  </si>
  <si>
    <t xml:space="preserve">Sampling: abuse is deliberately over-represented here (about 34% of rows) so rare types have enough examples. Real abuse is about 10% of returns.</t>
  </si>
  <si>
    <t xml:space="preserve">Columns: the real table has many more features (warehouse grading, chat claim counts, linked cards and devices).</t>
  </si>
  <si>
    <t xml:space="preserve">return_id</t>
  </si>
  <si>
    <t xml:space="preserve">customer_id</t>
  </si>
  <si>
    <t xml:space="preserve">date</t>
  </si>
  <si>
    <t xml:space="preserve">item_value</t>
  </si>
  <si>
    <t xml:space="preserve">refunds_no_scan_60d</t>
  </si>
  <si>
    <t xml:space="preserve">linked_abusive_accounts</t>
  </si>
  <si>
    <t xml:space="preserve">account_age_days</t>
  </si>
  <si>
    <t xml:space="preserve">carrier_scanned</t>
  </si>
  <si>
    <t xml:space="preserve">analyst_label</t>
  </si>
  <si>
    <t xml:space="preserve">label_source</t>
  </si>
  <si>
    <t xml:space="preserve">R-10482</t>
  </si>
  <si>
    <t xml:space="preserve">C-7731</t>
  </si>
  <si>
    <t xml:space="preserve">No</t>
  </si>
  <si>
    <t xml:space="preserve">Abuse: refund without return</t>
  </si>
  <si>
    <t xml:space="preserve">Confirmed by 2 analysts</t>
  </si>
  <si>
    <t xml:space="preserve">R-10483</t>
  </si>
  <si>
    <t xml:space="preserve">C-0912</t>
  </si>
  <si>
    <t xml:space="preserve">Yes</t>
  </si>
  <si>
    <t xml:space="preserve">Honest</t>
  </si>
  <si>
    <t xml:space="preserve">Item received and graded</t>
  </si>
  <si>
    <t xml:space="preserve">R-10484</t>
  </si>
  <si>
    <t xml:space="preserve">C-5521</t>
  </si>
  <si>
    <t xml:space="preserve">Honest: carrier lost parcel</t>
  </si>
  <si>
    <t xml:space="preserve">Overturned on appeal</t>
  </si>
  <si>
    <t xml:space="preserve">R-08025</t>
  </si>
  <si>
    <t xml:space="preserve">C-2198</t>
  </si>
  <si>
    <t xml:space="preserve">R-08039</t>
  </si>
  <si>
    <t xml:space="preserve">C-1171</t>
  </si>
  <si>
    <t xml:space="preserve">Random audit, cleared</t>
  </si>
  <si>
    <t xml:space="preserve">R-08072</t>
  </si>
  <si>
    <t xml:space="preserve">C-2281</t>
  </si>
  <si>
    <t xml:space="preserve">R-08120</t>
  </si>
  <si>
    <t xml:space="preserve">C-8778</t>
  </si>
  <si>
    <t xml:space="preserve">R-08126</t>
  </si>
  <si>
    <t xml:space="preserve">C-2733</t>
  </si>
  <si>
    <t xml:space="preserve">R-08145</t>
  </si>
  <si>
    <t xml:space="preserve">C-6960</t>
  </si>
  <si>
    <t xml:space="preserve">R-08045</t>
  </si>
  <si>
    <t xml:space="preserve">C-4180</t>
  </si>
  <si>
    <t xml:space="preserve">R-08176</t>
  </si>
  <si>
    <t xml:space="preserve">C-1057</t>
  </si>
  <si>
    <t xml:space="preserve">R-08069</t>
  </si>
  <si>
    <t xml:space="preserve">C-6108</t>
  </si>
  <si>
    <t xml:space="preserve">R-08082</t>
  </si>
  <si>
    <t xml:space="preserve">C-8603</t>
  </si>
  <si>
    <t xml:space="preserve">R-08128</t>
  </si>
  <si>
    <t xml:space="preserve">C-7040</t>
  </si>
  <si>
    <t xml:space="preserve">R-08031</t>
  </si>
  <si>
    <t xml:space="preserve">C-1022</t>
  </si>
  <si>
    <t xml:space="preserve">R-08169</t>
  </si>
  <si>
    <t xml:space="preserve">C-1624</t>
  </si>
  <si>
    <t xml:space="preserve">R-08143</t>
  </si>
  <si>
    <t xml:space="preserve">C-6117</t>
  </si>
  <si>
    <t xml:space="preserve">Abuse: repeated damage claims</t>
  </si>
  <si>
    <t xml:space="preserve">Chat claim history reviewed</t>
  </si>
  <si>
    <t xml:space="preserve">R-08063</t>
  </si>
  <si>
    <t xml:space="preserve">C-1985</t>
  </si>
  <si>
    <t xml:space="preserve">Abuse: wear and return</t>
  </si>
  <si>
    <t xml:space="preserve">Warehouse graded as worn</t>
  </si>
  <si>
    <t xml:space="preserve">R-08061</t>
  </si>
  <si>
    <t xml:space="preserve">C-4488</t>
  </si>
  <si>
    <t xml:space="preserve">R-08060</t>
  </si>
  <si>
    <t xml:space="preserve">C-3398</t>
  </si>
  <si>
    <t xml:space="preserve">R-08083</t>
  </si>
  <si>
    <t xml:space="preserve">C-5210</t>
  </si>
  <si>
    <t xml:space="preserve">R-08084</t>
  </si>
  <si>
    <t xml:space="preserve">C-6555</t>
  </si>
  <si>
    <t xml:space="preserve">R-08180</t>
  </si>
  <si>
    <t xml:space="preserve">C-3104</t>
  </si>
  <si>
    <t xml:space="preserve">R-08103</t>
  </si>
  <si>
    <t xml:space="preserve">C-5339</t>
  </si>
  <si>
    <t xml:space="preserve">R-08066</t>
  </si>
  <si>
    <t xml:space="preserve">C-3713</t>
  </si>
  <si>
    <t xml:space="preserve">R-08073</t>
  </si>
  <si>
    <t xml:space="preserve">C-6758</t>
  </si>
  <si>
    <t xml:space="preserve">R-08104</t>
  </si>
  <si>
    <t xml:space="preserve">C-4413</t>
  </si>
  <si>
    <t xml:space="preserve">R-08076</t>
  </si>
  <si>
    <t xml:space="preserve">C-1807</t>
  </si>
  <si>
    <t xml:space="preserve">R-08149</t>
  </si>
  <si>
    <t xml:space="preserve">C-7655</t>
  </si>
  <si>
    <t xml:space="preserve">R-08105</t>
  </si>
  <si>
    <t xml:space="preserve">C-7898</t>
  </si>
  <si>
    <t xml:space="preserve">R-08036</t>
  </si>
  <si>
    <t xml:space="preserve">C-2152</t>
  </si>
  <si>
    <t xml:space="preserve">R-08074</t>
  </si>
  <si>
    <t xml:space="preserve">C-4398</t>
  </si>
  <si>
    <t xml:space="preserve">R-08023</t>
  </si>
  <si>
    <t xml:space="preserve">C-1528</t>
  </si>
  <si>
    <t xml:space="preserve">R-08151</t>
  </si>
  <si>
    <t xml:space="preserve">C-1243</t>
  </si>
  <si>
    <t xml:space="preserve">R-08184</t>
  </si>
  <si>
    <t xml:space="preserve">C-2347</t>
  </si>
  <si>
    <t xml:space="preserve">R-08189</t>
  </si>
  <si>
    <t xml:space="preserve">C-9058</t>
  </si>
  <si>
    <t xml:space="preserve">R-08107</t>
  </si>
  <si>
    <t xml:space="preserve">C-7829</t>
  </si>
  <si>
    <t xml:space="preserve">Account closed after review</t>
  </si>
  <si>
    <t xml:space="preserve">R-08187</t>
  </si>
  <si>
    <t xml:space="preserve">C-1423</t>
  </si>
  <si>
    <t xml:space="preserve">R-08008</t>
  </si>
  <si>
    <t xml:space="preserve">C-9974</t>
  </si>
  <si>
    <t xml:space="preserve">R-08129</t>
  </si>
  <si>
    <t xml:space="preserve">C-1723</t>
  </si>
  <si>
    <t xml:space="preserve">R-08168</t>
  </si>
  <si>
    <t xml:space="preserve">C-5047</t>
  </si>
  <si>
    <t xml:space="preserve">R-08114</t>
  </si>
  <si>
    <t xml:space="preserve">C-5609</t>
  </si>
  <si>
    <t xml:space="preserve">R-08028</t>
  </si>
  <si>
    <t xml:space="preserve">C-3491</t>
  </si>
  <si>
    <t xml:space="preserve">R-08148</t>
  </si>
  <si>
    <t xml:space="preserve">C-7942</t>
  </si>
  <si>
    <t xml:space="preserve">R-08192</t>
  </si>
  <si>
    <t xml:space="preserve">C-6305</t>
  </si>
  <si>
    <t xml:space="preserve">R-08102</t>
  </si>
  <si>
    <t xml:space="preserve">C-7988</t>
  </si>
  <si>
    <t xml:space="preserve">R-08140</t>
  </si>
  <si>
    <t xml:space="preserve">C-7517</t>
  </si>
  <si>
    <t xml:space="preserve">R-08190</t>
  </si>
  <si>
    <t xml:space="preserve">C-4622</t>
  </si>
  <si>
    <t xml:space="preserve">R-08004</t>
  </si>
  <si>
    <t xml:space="preserve">C-3648</t>
  </si>
  <si>
    <t xml:space="preserve">R-08155</t>
  </si>
  <si>
    <t xml:space="preserve">C-3390</t>
  </si>
  <si>
    <t xml:space="preserve">R-08157</t>
  </si>
  <si>
    <t xml:space="preserve">C-2099</t>
  </si>
  <si>
    <t xml:space="preserve">R-08010</t>
  </si>
  <si>
    <t xml:space="preserve">C-6685</t>
  </si>
  <si>
    <t xml:space="preserve">Abuse: reseller ring</t>
  </si>
  <si>
    <t xml:space="preserve">Linked to confirmed ring</t>
  </si>
  <si>
    <t xml:space="preserve">R-08064</t>
  </si>
  <si>
    <t xml:space="preserve">C-7444</t>
  </si>
  <si>
    <t xml:space="preserve">R-08113</t>
  </si>
  <si>
    <t xml:space="preserve">C-5019</t>
  </si>
  <si>
    <t xml:space="preserve">R-08115</t>
  </si>
  <si>
    <t xml:space="preserve">C-6346</t>
  </si>
  <si>
    <t xml:space="preserve">R-08123</t>
  </si>
  <si>
    <t xml:space="preserve">C-4181</t>
  </si>
  <si>
    <t xml:space="preserve">Carrier confirmed loss</t>
  </si>
  <si>
    <t xml:space="preserve">R-08067</t>
  </si>
  <si>
    <t xml:space="preserve">C-4039</t>
  </si>
  <si>
    <t xml:space="preserve">R-08009</t>
  </si>
  <si>
    <t xml:space="preserve">C-4999</t>
  </si>
  <si>
    <t xml:space="preserve">R-08078</t>
  </si>
  <si>
    <t xml:space="preserve">C-6297</t>
  </si>
  <si>
    <t xml:space="preserve">R-08077</t>
  </si>
  <si>
    <t xml:space="preserve">C-1369</t>
  </si>
  <si>
    <t xml:space="preserve">R-08164</t>
  </si>
  <si>
    <t xml:space="preserve">C-8748</t>
  </si>
  <si>
    <t xml:space="preserve">R-08146</t>
  </si>
  <si>
    <t xml:space="preserve">C-7401</t>
  </si>
  <si>
    <t xml:space="preserve">R-08098</t>
  </si>
  <si>
    <t xml:space="preserve">C-7417</t>
  </si>
  <si>
    <t xml:space="preserve">R-08135</t>
  </si>
  <si>
    <t xml:space="preserve">C-1515</t>
  </si>
  <si>
    <t xml:space="preserve">R-08147</t>
  </si>
  <si>
    <t xml:space="preserve">C-1096</t>
  </si>
  <si>
    <t xml:space="preserve">R-08054</t>
  </si>
  <si>
    <t xml:space="preserve">C-9121</t>
  </si>
  <si>
    <t xml:space="preserve">R-08005</t>
  </si>
  <si>
    <t xml:space="preserve">C-9201</t>
  </si>
  <si>
    <t xml:space="preserve">R-08195</t>
  </si>
  <si>
    <t xml:space="preserve">C-5306</t>
  </si>
  <si>
    <t xml:space="preserve">R-08163</t>
  </si>
  <si>
    <t xml:space="preserve">C-7627</t>
  </si>
  <si>
    <t xml:space="preserve">R-08049</t>
  </si>
  <si>
    <t xml:space="preserve">C-9076</t>
  </si>
  <si>
    <t xml:space="preserve">R-08032</t>
  </si>
  <si>
    <t xml:space="preserve">C-1615</t>
  </si>
  <si>
    <t xml:space="preserve">R-08122</t>
  </si>
  <si>
    <t xml:space="preserve">C-2953</t>
  </si>
  <si>
    <t xml:space="preserve">R-08090</t>
  </si>
  <si>
    <t xml:space="preserve">C-2757</t>
  </si>
  <si>
    <t xml:space="preserve">R-08043</t>
  </si>
  <si>
    <t xml:space="preserve">C-1479</t>
  </si>
  <si>
    <t xml:space="preserve">R-08099</t>
  </si>
  <si>
    <t xml:space="preserve">C-7680</t>
  </si>
  <si>
    <t xml:space="preserve">R-08027</t>
  </si>
  <si>
    <t xml:space="preserve">C-2786</t>
  </si>
  <si>
    <t xml:space="preserve">R-08173</t>
  </si>
  <si>
    <t xml:space="preserve">C-7975</t>
  </si>
  <si>
    <t xml:space="preserve">R-08034</t>
  </si>
  <si>
    <t xml:space="preserve">C-9654</t>
  </si>
  <si>
    <t xml:space="preserve">R-08194</t>
  </si>
  <si>
    <t xml:space="preserve">C-9228</t>
  </si>
  <si>
    <t xml:space="preserve">R-08001</t>
  </si>
  <si>
    <t xml:space="preserve">C-5262</t>
  </si>
  <si>
    <t xml:space="preserve">R-08130</t>
  </si>
  <si>
    <t xml:space="preserve">C-1626</t>
  </si>
  <si>
    <t xml:space="preserve">R-08047</t>
  </si>
  <si>
    <t xml:space="preserve">C-4732</t>
  </si>
  <si>
    <t xml:space="preserve">R-08112</t>
  </si>
  <si>
    <t xml:space="preserve">R-08038</t>
  </si>
  <si>
    <t xml:space="preserve">C-4663</t>
  </si>
  <si>
    <t xml:space="preserve">R-08111</t>
  </si>
  <si>
    <t xml:space="preserve">C-7110</t>
  </si>
  <si>
    <t xml:space="preserve">R-08015</t>
  </si>
  <si>
    <t xml:space="preserve">C-6541</t>
  </si>
  <si>
    <t xml:space="preserve">R-08020</t>
  </si>
  <si>
    <t xml:space="preserve">C-5070</t>
  </si>
  <si>
    <t xml:space="preserve">R-08085</t>
  </si>
  <si>
    <t xml:space="preserve">C-6488</t>
  </si>
  <si>
    <t xml:space="preserve">R-08193</t>
  </si>
  <si>
    <t xml:space="preserve">C-8477</t>
  </si>
  <si>
    <t xml:space="preserve">R-08156</t>
  </si>
  <si>
    <t xml:space="preserve">C-3651</t>
  </si>
  <si>
    <t xml:space="preserve">R-08053</t>
  </si>
  <si>
    <t xml:space="preserve">C-9271</t>
  </si>
  <si>
    <t xml:space="preserve">R-08110</t>
  </si>
  <si>
    <t xml:space="preserve">C-5577</t>
  </si>
  <si>
    <t xml:space="preserve">R-08057</t>
  </si>
  <si>
    <t xml:space="preserve">C-2785</t>
  </si>
  <si>
    <t xml:space="preserve">R-08088</t>
  </si>
  <si>
    <t xml:space="preserve">C-1061</t>
  </si>
  <si>
    <t xml:space="preserve">R-08040</t>
  </si>
  <si>
    <t xml:space="preserve">C-8547</t>
  </si>
  <si>
    <t xml:space="preserve">R-08159</t>
  </si>
  <si>
    <t xml:space="preserve">C-3075</t>
  </si>
  <si>
    <t xml:space="preserve">R-08094</t>
  </si>
  <si>
    <t xml:space="preserve">C-3479</t>
  </si>
  <si>
    <t xml:space="preserve">R-08033</t>
  </si>
  <si>
    <t xml:space="preserve">C-3096</t>
  </si>
  <si>
    <t xml:space="preserve">R-08142</t>
  </si>
  <si>
    <t xml:space="preserve">C-7845</t>
  </si>
  <si>
    <t xml:space="preserve">R-08022</t>
  </si>
  <si>
    <t xml:space="preserve">C-1357</t>
  </si>
  <si>
    <t xml:space="preserve">R-08055</t>
  </si>
  <si>
    <t xml:space="preserve">C-4177</t>
  </si>
  <si>
    <t xml:space="preserve">R-08041</t>
  </si>
  <si>
    <t xml:space="preserve">C-4970</t>
  </si>
  <si>
    <t xml:space="preserve">R-08011</t>
  </si>
  <si>
    <t xml:space="preserve">R-08096</t>
  </si>
  <si>
    <t xml:space="preserve">C-8549</t>
  </si>
  <si>
    <t xml:space="preserve">R-08170</t>
  </si>
  <si>
    <t xml:space="preserve">C-8564</t>
  </si>
  <si>
    <t xml:space="preserve">R-08132</t>
  </si>
  <si>
    <t xml:space="preserve">C-7700</t>
  </si>
  <si>
    <t xml:space="preserve">R-08007</t>
  </si>
  <si>
    <t xml:space="preserve">C-8372</t>
  </si>
  <si>
    <t xml:space="preserve">R-08000</t>
  </si>
  <si>
    <t xml:space="preserve">C-5616</t>
  </si>
  <si>
    <t xml:space="preserve">R-08191</t>
  </si>
  <si>
    <t xml:space="preserve">C-5132</t>
  </si>
  <si>
    <t xml:space="preserve">R-08075</t>
  </si>
  <si>
    <t xml:space="preserve">C-6057</t>
  </si>
  <si>
    <t xml:space="preserve">R-08144</t>
  </si>
  <si>
    <t xml:space="preserve">C-7784</t>
  </si>
  <si>
    <t xml:space="preserve">R-08150</t>
  </si>
  <si>
    <t xml:space="preserve">C-8551</t>
  </si>
  <si>
    <t xml:space="preserve">R-08133</t>
  </si>
  <si>
    <t xml:space="preserve">C-4033</t>
  </si>
  <si>
    <t xml:space="preserve">R-08124</t>
  </si>
  <si>
    <t xml:space="preserve">C-9399</t>
  </si>
  <si>
    <t xml:space="preserve">R-08070</t>
  </si>
  <si>
    <t xml:space="preserve">C-7125</t>
  </si>
  <si>
    <t xml:space="preserve">R-08158</t>
  </si>
  <si>
    <t xml:space="preserve">C-9036</t>
  </si>
  <si>
    <t xml:space="preserve">R-08167</t>
  </si>
  <si>
    <t xml:space="preserve">C-6885</t>
  </si>
  <si>
    <t xml:space="preserve">R-08052</t>
  </si>
  <si>
    <t xml:space="preserve">C-4245</t>
  </si>
  <si>
    <t xml:space="preserve">R-08116</t>
  </si>
  <si>
    <t xml:space="preserve">C-5123</t>
  </si>
  <si>
    <t xml:space="preserve">R-08153</t>
  </si>
  <si>
    <t xml:space="preserve">C-2458</t>
  </si>
  <si>
    <t xml:space="preserve">R-08021</t>
  </si>
  <si>
    <t xml:space="preserve">C-8304</t>
  </si>
  <si>
    <t xml:space="preserve">R-08166</t>
  </si>
  <si>
    <t xml:space="preserve">C-9485</t>
  </si>
  <si>
    <t xml:space="preserve">R-08081</t>
  </si>
  <si>
    <t xml:space="preserve">C-1666</t>
  </si>
  <si>
    <t xml:space="preserve">R-08137</t>
  </si>
  <si>
    <t xml:space="preserve">C-2661</t>
  </si>
  <si>
    <t xml:space="preserve">R-08141</t>
  </si>
  <si>
    <t xml:space="preserve">C-5641</t>
  </si>
  <si>
    <t xml:space="preserve">R-08080</t>
  </si>
  <si>
    <t xml:space="preserve">C-5063</t>
  </si>
  <si>
    <t xml:space="preserve">R-08013</t>
  </si>
  <si>
    <t xml:space="preserve">C-7272</t>
  </si>
  <si>
    <t xml:space="preserve">R-08051</t>
  </si>
  <si>
    <t xml:space="preserve">C-6936</t>
  </si>
  <si>
    <t xml:space="preserve">R-08172</t>
  </si>
  <si>
    <t xml:space="preserve">C-6049</t>
  </si>
  <si>
    <t xml:space="preserve">R-08048</t>
  </si>
  <si>
    <t xml:space="preserve">C-7065</t>
  </si>
  <si>
    <t xml:space="preserve">R-08092</t>
  </si>
  <si>
    <t xml:space="preserve">C-9085</t>
  </si>
  <si>
    <t xml:space="preserve">R-08181</t>
  </si>
  <si>
    <t xml:space="preserve">C-6985</t>
  </si>
  <si>
    <t xml:space="preserve">R-08035</t>
  </si>
  <si>
    <t xml:space="preserve">C-2837</t>
  </si>
  <si>
    <t xml:space="preserve">R-08182</t>
  </si>
  <si>
    <t xml:space="preserve">C-9263</t>
  </si>
  <si>
    <t xml:space="preserve">R-08071</t>
  </si>
  <si>
    <t xml:space="preserve">C-3773</t>
  </si>
  <si>
    <t xml:space="preserve">R-08106</t>
  </si>
  <si>
    <t xml:space="preserve">C-3837</t>
  </si>
  <si>
    <t xml:space="preserve">R-08178</t>
  </si>
  <si>
    <t xml:space="preserve">C-8508</t>
  </si>
  <si>
    <t xml:space="preserve">R-08121</t>
  </si>
  <si>
    <t xml:space="preserve">C-1661</t>
  </si>
  <si>
    <t xml:space="preserve">R-08125</t>
  </si>
  <si>
    <t xml:space="preserve">C-5258</t>
  </si>
  <si>
    <t xml:space="preserve">R-08065</t>
  </si>
  <si>
    <t xml:space="preserve">C-6147</t>
  </si>
  <si>
    <t xml:space="preserve">R-08171</t>
  </si>
  <si>
    <t xml:space="preserve">C-6017</t>
  </si>
  <si>
    <t xml:space="preserve">R-08030</t>
  </si>
  <si>
    <t xml:space="preserve">C-2392</t>
  </si>
  <si>
    <t xml:space="preserve">R-08119</t>
  </si>
  <si>
    <t xml:space="preserve">C-1606</t>
  </si>
  <si>
    <t xml:space="preserve">R-08056</t>
  </si>
  <si>
    <t xml:space="preserve">C-4628</t>
  </si>
  <si>
    <t xml:space="preserve">R-08091</t>
  </si>
  <si>
    <t xml:space="preserve">C-7332</t>
  </si>
  <si>
    <t xml:space="preserve">R-08024</t>
  </si>
  <si>
    <t xml:space="preserve">C-9025</t>
  </si>
  <si>
    <t xml:space="preserve">R-08179</t>
  </si>
  <si>
    <t xml:space="preserve">C-7559</t>
  </si>
  <si>
    <t xml:space="preserve">R-08079</t>
  </si>
  <si>
    <t xml:space="preserve">C-1496</t>
  </si>
  <si>
    <t xml:space="preserve">R-08003</t>
  </si>
  <si>
    <t xml:space="preserve">C-7461</t>
  </si>
  <si>
    <t xml:space="preserve">R-08160</t>
  </si>
  <si>
    <t xml:space="preserve">C-6153</t>
  </si>
  <si>
    <t xml:space="preserve">R-08059</t>
  </si>
  <si>
    <t xml:space="preserve">C-7832</t>
  </si>
  <si>
    <t xml:space="preserve">R-08177</t>
  </si>
  <si>
    <t xml:space="preserve">C-8623</t>
  </si>
  <si>
    <t xml:space="preserve">R-08058</t>
  </si>
  <si>
    <t xml:space="preserve">C-4068</t>
  </si>
  <si>
    <t xml:space="preserve">R-08093</t>
  </si>
  <si>
    <t xml:space="preserve">C-3997</t>
  </si>
  <si>
    <t xml:space="preserve">R-08016</t>
  </si>
  <si>
    <t xml:space="preserve">C-5546</t>
  </si>
  <si>
    <t xml:space="preserve">R-08175</t>
  </si>
  <si>
    <t xml:space="preserve">C-8181</t>
  </si>
  <si>
    <t xml:space="preserve">R-08186</t>
  </si>
  <si>
    <t xml:space="preserve">C-7190</t>
  </si>
  <si>
    <t xml:space="preserve">R-08196</t>
  </si>
  <si>
    <t xml:space="preserve">C-4889</t>
  </si>
  <si>
    <t xml:space="preserve">R-08117</t>
  </si>
  <si>
    <t xml:space="preserve">C-9623</t>
  </si>
  <si>
    <t xml:space="preserve">R-08185</t>
  </si>
  <si>
    <t xml:space="preserve">C-2310</t>
  </si>
  <si>
    <t xml:space="preserve">R-08014</t>
  </si>
  <si>
    <t xml:space="preserve">C-4440</t>
  </si>
  <si>
    <t xml:space="preserve">R-08037</t>
  </si>
  <si>
    <t xml:space="preserve">C-4140</t>
  </si>
  <si>
    <t xml:space="preserve">R-08068</t>
  </si>
  <si>
    <t xml:space="preserve">C-8661</t>
  </si>
  <si>
    <t xml:space="preserve">R-08042</t>
  </si>
  <si>
    <t xml:space="preserve">C-4846</t>
  </si>
  <si>
    <t xml:space="preserve">R-08026</t>
  </si>
  <si>
    <t xml:space="preserve">C-8670</t>
  </si>
  <si>
    <t xml:space="preserve">R-08139</t>
  </si>
  <si>
    <t xml:space="preserve">C-2493</t>
  </si>
  <si>
    <t xml:space="preserve">R-08136</t>
  </si>
  <si>
    <t xml:space="preserve">C-8921</t>
  </si>
  <si>
    <t xml:space="preserve">R-08006</t>
  </si>
  <si>
    <t xml:space="preserve">C-4604</t>
  </si>
  <si>
    <t xml:space="preserve">R-08152</t>
  </si>
  <si>
    <t xml:space="preserve">C-3334</t>
  </si>
  <si>
    <t xml:space="preserve">R-08101</t>
  </si>
  <si>
    <t xml:space="preserve">C-9922</t>
  </si>
  <si>
    <t xml:space="preserve">R-08165</t>
  </si>
  <si>
    <t xml:space="preserve">C-4573</t>
  </si>
  <si>
    <t xml:space="preserve">R-08012</t>
  </si>
  <si>
    <t xml:space="preserve">C-4311</t>
  </si>
  <si>
    <t xml:space="preserve">R-08017</t>
  </si>
  <si>
    <t xml:space="preserve">C-3062</t>
  </si>
  <si>
    <t xml:space="preserve">R-08062</t>
  </si>
  <si>
    <t xml:space="preserve">C-3325</t>
  </si>
  <si>
    <t xml:space="preserve">R-08097</t>
  </si>
  <si>
    <t xml:space="preserve">C-2294</t>
  </si>
  <si>
    <t xml:space="preserve">R-08127</t>
  </si>
  <si>
    <t xml:space="preserve">C-6729</t>
  </si>
  <si>
    <t xml:space="preserve">R-08095</t>
  </si>
  <si>
    <t xml:space="preserve">C-4868</t>
  </si>
  <si>
    <t xml:space="preserve">R-08161</t>
  </si>
  <si>
    <t xml:space="preserve">C-7355</t>
  </si>
  <si>
    <t xml:space="preserve">R-08188</t>
  </si>
  <si>
    <t xml:space="preserve">C-2795</t>
  </si>
  <si>
    <t xml:space="preserve">R-08086</t>
  </si>
  <si>
    <t xml:space="preserve">R-08108</t>
  </si>
  <si>
    <t xml:space="preserve">C-4849</t>
  </si>
  <si>
    <t xml:space="preserve">R-08134</t>
  </si>
  <si>
    <t xml:space="preserve">C-6115</t>
  </si>
  <si>
    <t xml:space="preserve">R-08162</t>
  </si>
  <si>
    <t xml:space="preserve">C-3625</t>
  </si>
  <si>
    <t xml:space="preserve">R-08154</t>
  </si>
  <si>
    <t xml:space="preserve">C-7075</t>
  </si>
  <si>
    <t xml:space="preserve">R-08019</t>
  </si>
  <si>
    <t xml:space="preserve">C-4538</t>
  </si>
  <si>
    <t xml:space="preserve">R-08089</t>
  </si>
  <si>
    <t xml:space="preserve">C-2070</t>
  </si>
  <si>
    <t xml:space="preserve">R-08044</t>
  </si>
  <si>
    <t xml:space="preserve">C-6036</t>
  </si>
  <si>
    <t xml:space="preserve">R-08100</t>
  </si>
  <si>
    <t xml:space="preserve">C-1554</t>
  </si>
  <si>
    <t xml:space="preserve">R-08118</t>
  </si>
  <si>
    <t xml:space="preserve">C-2647</t>
  </si>
  <si>
    <t xml:space="preserve">R-08131</t>
  </si>
  <si>
    <t xml:space="preserve">C-4333</t>
  </si>
  <si>
    <t xml:space="preserve">R-08002</t>
  </si>
  <si>
    <t xml:space="preserve">C-4910</t>
  </si>
  <si>
    <t xml:space="preserve">R-08183</t>
  </si>
  <si>
    <t xml:space="preserve">R-08174</t>
  </si>
  <si>
    <t xml:space="preserve">C-7020</t>
  </si>
  <si>
    <t xml:space="preserve">R-08138</t>
  </si>
  <si>
    <t xml:space="preserve">C-3532</t>
  </si>
  <si>
    <t xml:space="preserve">R-08109</t>
  </si>
  <si>
    <t xml:space="preserve">C-2985</t>
  </si>
  <si>
    <t xml:space="preserve">R-08046</t>
  </si>
  <si>
    <t xml:space="preserve">C-7881</t>
  </si>
  <si>
    <t xml:space="preserve">R-08029</t>
  </si>
  <si>
    <t xml:space="preserve">C-2784</t>
  </si>
  <si>
    <t xml:space="preserve">R-08018</t>
  </si>
  <si>
    <t xml:space="preserve">C-9247</t>
  </si>
  <si>
    <t xml:space="preserve">R-08087</t>
  </si>
  <si>
    <t xml:space="preserve">C-6185</t>
  </si>
  <si>
    <t xml:space="preserve">R-08050</t>
  </si>
  <si>
    <t xml:space="preserve">C-6538</t>
  </si>
  <si>
    <t xml:space="preserve">Rows 2–4 (blue) are the worked examples from the presentation. All data is synthetic.</t>
  </si>
  <si>
    <t xml:space="preserve">Summary of the sample golden dataset</t>
  </si>
  <si>
    <t xml:space="preserve">All figures are formulas over the Golden Dataset tab.</t>
  </si>
  <si>
    <t xml:space="preserve">Label</t>
  </si>
  <si>
    <t xml:space="preserve">Returns</t>
  </si>
  <si>
    <t xml:space="preserve">Share of rows</t>
  </si>
  <si>
    <t xml:space="preserve">Average item value (₹)</t>
  </si>
  <si>
    <t xml:space="preserve">Total</t>
  </si>
  <si>
    <t xml:space="preserve">All abuse types</t>
  </si>
  <si>
    <t xml:space="preserve">Label source</t>
  </si>
  <si>
    <t xml:space="preserve">Note: abuse is over-sampled to about a third of rows so each abuse type has enough examples. In real traffic abuse is about 10% of returns (Section 1 assumption).</t>
  </si>
  <si>
    <t xml:space="preserve">Column</t>
  </si>
  <si>
    <t xml:space="preserve">Meaning</t>
  </si>
  <si>
    <t xml:space="preserve">Source system</t>
  </si>
  <si>
    <t xml:space="preserve">Type</t>
  </si>
  <si>
    <t xml:space="preserve">Example</t>
  </si>
  <si>
    <t xml:space="preserve">Unique ID of the return</t>
  </si>
  <si>
    <t xml:space="preserve">Order management</t>
  </si>
  <si>
    <t xml:space="preserve">Text</t>
  </si>
  <si>
    <t xml:space="preserve">Pseudonymised customer ID (real IDs never used in training)</t>
  </si>
  <si>
    <t xml:space="preserve">Customer matching</t>
  </si>
  <si>
    <t xml:space="preserve">Date the return was started</t>
  </si>
  <si>
    <t xml:space="preserve">Date</t>
  </si>
  <si>
    <t xml:space="preserve">2026-10-18</t>
  </si>
  <si>
    <t xml:space="preserve">Refund value of the returned item, in Indian rupees (₹)</t>
  </si>
  <si>
    <t xml:space="preserve">Payments</t>
  </si>
  <si>
    <t xml:space="preserve">Number (₹)</t>
  </si>
  <si>
    <t xml:space="preserve">3499</t>
  </si>
  <si>
    <t xml:space="preserve">Refunds in the previous 60 days where the carrier never scanned the parcel</t>
  </si>
  <si>
    <t xml:space="preserve">Payments + carrier tracking</t>
  </si>
  <si>
    <t xml:space="preserve">Count</t>
  </si>
  <si>
    <t xml:space="preserve">3</t>
  </si>
  <si>
    <t xml:space="preserve">Accounts sharing an address or card with this one that were confirmed as abusive</t>
  </si>
  <si>
    <t xml:space="preserve">Account links</t>
  </si>
  <si>
    <t xml:space="preserve">2</t>
  </si>
  <si>
    <t xml:space="preserve">Days since the account was created</t>
  </si>
  <si>
    <t xml:space="preserve">Customer accounts</t>
  </si>
  <si>
    <t xml:space="preserve">21</t>
  </si>
  <si>
    <t xml:space="preserve">Whether the carrier has scanned this return parcel</t>
  </si>
  <si>
    <t xml:space="preserve">Carrier tracking</t>
  </si>
  <si>
    <t xml:space="preserve">Yes / No</t>
  </si>
  <si>
    <t xml:space="preserve">The verified answer: Honest, or the abuse type</t>
  </si>
  <si>
    <t xml:space="preserve">Trust &amp; safety review</t>
  </si>
  <si>
    <t xml:space="preserve">Category</t>
  </si>
  <si>
    <t xml:space="preserve">How the label was verified</t>
  </si>
  <si>
    <t xml:space="preserve">Not included on purpose: name, gender, age, postcode, chat language, device type, payment method type. The model judges behaviour, never identity.</t>
  </si>
  <si>
    <t xml:space="preserve">Backtest: MVP scoring rules run against the golden dataset</t>
  </si>
  <si>
    <t xml:space="preserve">Blue cells on yellow are inputs you can change. Everything else is a formula.</t>
  </si>
  <si>
    <t xml:space="preserve">risk_score</t>
  </si>
  <si>
    <t xml:space="preserve">lane</t>
  </si>
  <si>
    <t xml:space="preserve">held</t>
  </si>
  <si>
    <t xml:space="preserve">is_abuse</t>
  </si>
  <si>
    <t xml:space="preserve">is_rwr</t>
  </si>
  <si>
    <t xml:space="preserve">outcome</t>
  </si>
  <si>
    <t xml:space="preserve">Inputs</t>
  </si>
  <si>
    <t xml:space="preserve">Points per earlier refund with no carrier scan</t>
  </si>
  <si>
    <t xml:space="preserve">Points per linked abusive account</t>
  </si>
  <si>
    <t xml:space="preserve">Points if account is under 30 days old</t>
  </si>
  <si>
    <t xml:space="preserve">Points if this parcel has no carrier scan</t>
  </si>
  <si>
    <t xml:space="preserve">Hold-and-review threshold (score)</t>
  </si>
  <si>
    <t xml:space="preserve">Refund-on-scan threshold (score)</t>
  </si>
  <si>
    <t xml:space="preserve">Yearly refund-without-return loss ($M)</t>
  </si>
  <si>
    <t xml:space="preserve">Loss stopped per caught abuser</t>
  </si>
  <si>
    <t xml:space="preserve">Accuracy guardrail (precision)</t>
  </si>
  <si>
    <t xml:space="preserve">Sources: score weights and thresholds are the MVP rules from the prototype. $33M and 62% come from the Section 1 cost model (assumptions). 90% is the launch guardrail.</t>
  </si>
  <si>
    <t xml:space="preserve">Results at the hold threshold</t>
  </si>
  <si>
    <t xml:space="preserve">Returns held for review</t>
  </si>
  <si>
    <t xml:space="preserve">Of which really abusive</t>
  </si>
  <si>
    <t xml:space="preserve">False alarms (honest customers held)</t>
  </si>
  <si>
    <t xml:space="preserve">Accuracy of holds (precision)</t>
  </si>
  <si>
    <t xml:space="preserve">Refund-without-return abusers caught (recall)</t>
  </si>
  <si>
    <t xml:space="preserve">Loss prevented per year ($M)</t>
  </si>
  <si>
    <t xml:space="preserve">Meets accuracy guardrail?</t>
  </si>
  <si>
    <t xml:space="preserve">Trade-off by threshold</t>
  </si>
  <si>
    <t xml:space="preserve">Threshold</t>
  </si>
  <si>
    <t xml:space="preserve">Held</t>
  </si>
  <si>
    <t xml:space="preserve">Really abusive</t>
  </si>
  <si>
    <t xml:space="preserve">Precision</t>
  </si>
  <si>
    <t xml:space="preserve">RWR caught</t>
  </si>
  <si>
    <t xml:space="preserve">Recall</t>
  </si>
  <si>
    <t xml:space="preserve">Loss prevented ($M)</t>
  </si>
  <si>
    <t xml:space="preserve">Guardrail</t>
  </si>
  <si>
    <t xml:space="preserve">Precision here is measured on a dataset where abuse is over-sampled (34% of rows vs ~10% in real traffic), so real-world precision will be lower. Shadow mode re-measures it on live returns before launch.</t>
  </si>
  <si>
    <t xml:space="preserve">Wear-and-return and damage-claim abuse score near zero by design: the MVP columns can't see them. V2 adds warehouse grading and chat-claim columns.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</si>
</sst>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yyyy\-mm\-dd"/>
    <numFmt numFmtId="166" formatCode="\₹#,##0"/>
    <numFmt numFmtId="167" formatCode="#,##0"/>
    <numFmt numFmtId="168" formatCode="0.0%"/>
    <numFmt numFmtId="169" formatCode="0"/>
    <numFmt numFmtId="170" formatCode="0.0"/>
    <numFmt numFmtId="171" formatCode="0%"/>
    <numFmt numFmtId="172" formatCode="@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D5B76"/>
      <name val="Arial"/>
      <family val="0"/>
      <charset val="1"/>
    </font>
    <font>
      <b val="true"/>
      <sz val="10"/>
      <color rgb="FFAD343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56636F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D5B76"/>
        <bgColor rgb="FF56636F"/>
      </patternFill>
    </fill>
    <fill>
      <patternFill patternType="solid">
        <fgColor rgb="FFE1EDF2"/>
        <bgColor rgb="FFD9E0E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D9E0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D5B76"/>
          <bgColor rgb="FF000000"/>
        </patternFill>
      </fill>
    </dxf>
    <dxf>
      <fill>
        <patternFill patternType="solid">
          <fgColor rgb="FFE1ED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AD343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D5B76"/>
      <rgbColor rgb="FFC0C0C0"/>
      <rgbColor rgb="FF808080"/>
      <rgbColor rgb="FF9999FF"/>
      <rgbColor rgb="FFAD3434"/>
      <rgbColor rgb="FFFFFFCC"/>
      <rgbColor rgb="FFE1EDF2"/>
      <rgbColor rgb="FF660066"/>
      <rgbColor rgb="FFFF8080"/>
      <rgbColor rgb="FF0066CC"/>
      <rgbColor rgb="FFD9E0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6636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GoldenDataset" displayName="GoldenDataset" ref="A1:J201" headerRowCount="1" totalsRowCount="0" totalsRowShown="0">
  <autoFilter ref="A1:J201"/>
  <tableColumns count="10">
    <tableColumn id="1" name="return_id"/>
    <tableColumn id="2" name="customer_id"/>
    <tableColumn id="3" name="date"/>
    <tableColumn id="4" name="item_value"/>
    <tableColumn id="5" name="refunds_no_scan_60d"/>
    <tableColumn id="6" name="linked_abusive_accounts"/>
    <tableColumn id="7" name="account_age_days"/>
    <tableColumn id="8" name="carrier_scanned"/>
    <tableColumn id="9" name="analyst_label"/>
    <tableColumn id="10" name="label_sourc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/>
    </row>
    <row r="8" customFormat="false" ht="15" hidden="false" customHeight="false" outlineLevel="0" collapsed="false">
      <c r="A8" s="4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4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/>
    </row>
    <row r="19" customFormat="false" ht="15" hidden="false" customHeight="false" outlineLevel="0" collapsed="false">
      <c r="A19" s="4" t="s">
        <v>14</v>
      </c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7" min="7" style="0" width="17"/>
    <col collapsed="false" customWidth="true" hidden="false" outlineLevel="0" max="8" min="8" style="0" width="15"/>
    <col collapsed="false" customWidth="true" hidden="false" outlineLevel="0" max="9" min="9" style="0" width="30"/>
    <col collapsed="false" customWidth="true" hidden="false" outlineLevel="0" max="10" min="10" style="0" width="28"/>
  </cols>
  <sheetData>
    <row r="1" customFormat="false" ht="15" hidden="false" customHeight="false" outlineLevel="0" collapsed="false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  <c r="G1" s="5" t="s">
        <v>25</v>
      </c>
      <c r="H1" s="5" t="s">
        <v>26</v>
      </c>
      <c r="I1" s="5" t="s">
        <v>27</v>
      </c>
      <c r="J1" s="5" t="s">
        <v>28</v>
      </c>
    </row>
    <row r="2" customFormat="false" ht="15" hidden="false" customHeight="false" outlineLevel="0" collapsed="false">
      <c r="A2" s="6" t="s">
        <v>29</v>
      </c>
      <c r="B2" s="6" t="s">
        <v>30</v>
      </c>
      <c r="C2" s="7" t="n">
        <v>46313</v>
      </c>
      <c r="D2" s="8" t="n">
        <v>129</v>
      </c>
      <c r="E2" s="6" t="n">
        <v>3</v>
      </c>
      <c r="F2" s="6" t="n">
        <v>2</v>
      </c>
      <c r="G2" s="6" t="n">
        <v>21</v>
      </c>
      <c r="H2" s="6" t="s">
        <v>31</v>
      </c>
      <c r="I2" s="9" t="s">
        <v>32</v>
      </c>
      <c r="J2" s="6" t="s">
        <v>33</v>
      </c>
    </row>
    <row r="3" customFormat="false" ht="15" hidden="false" customHeight="false" outlineLevel="0" collapsed="false">
      <c r="A3" s="6" t="s">
        <v>34</v>
      </c>
      <c r="B3" s="6" t="s">
        <v>35</v>
      </c>
      <c r="C3" s="7" t="n">
        <v>46313</v>
      </c>
      <c r="D3" s="8" t="n">
        <v>72</v>
      </c>
      <c r="E3" s="6" t="n">
        <v>0</v>
      </c>
      <c r="F3" s="6" t="n">
        <v>0</v>
      </c>
      <c r="G3" s="6" t="n">
        <v>1520</v>
      </c>
      <c r="H3" s="6" t="s">
        <v>36</v>
      </c>
      <c r="I3" s="6" t="s">
        <v>37</v>
      </c>
      <c r="J3" s="6" t="s">
        <v>38</v>
      </c>
    </row>
    <row r="4" customFormat="false" ht="15" hidden="false" customHeight="false" outlineLevel="0" collapsed="false">
      <c r="A4" s="6" t="s">
        <v>39</v>
      </c>
      <c r="B4" s="6" t="s">
        <v>40</v>
      </c>
      <c r="C4" s="7" t="n">
        <v>46314</v>
      </c>
      <c r="D4" s="8" t="n">
        <v>58</v>
      </c>
      <c r="E4" s="6" t="n">
        <v>1</v>
      </c>
      <c r="F4" s="6" t="n">
        <v>0</v>
      </c>
      <c r="G4" s="6" t="n">
        <v>540</v>
      </c>
      <c r="H4" s="6" t="s">
        <v>31</v>
      </c>
      <c r="I4" s="6" t="s">
        <v>41</v>
      </c>
      <c r="J4" s="6" t="s">
        <v>42</v>
      </c>
    </row>
    <row r="5" customFormat="false" ht="15" hidden="false" customHeight="false" outlineLevel="0" collapsed="false">
      <c r="A5" s="3" t="s">
        <v>43</v>
      </c>
      <c r="B5" s="3" t="s">
        <v>44</v>
      </c>
      <c r="C5" s="10" t="n">
        <v>45597</v>
      </c>
      <c r="D5" s="11" t="n">
        <v>72</v>
      </c>
      <c r="E5" s="3" t="n">
        <v>0</v>
      </c>
      <c r="F5" s="3" t="n">
        <v>0</v>
      </c>
      <c r="G5" s="3" t="n">
        <v>392</v>
      </c>
      <c r="H5" s="3" t="s">
        <v>36</v>
      </c>
      <c r="I5" s="3" t="s">
        <v>37</v>
      </c>
      <c r="J5" s="3" t="s">
        <v>38</v>
      </c>
    </row>
    <row r="6" customFormat="false" ht="15" hidden="false" customHeight="false" outlineLevel="0" collapsed="false">
      <c r="A6" s="3" t="s">
        <v>45</v>
      </c>
      <c r="B6" s="3" t="s">
        <v>46</v>
      </c>
      <c r="C6" s="10" t="n">
        <v>45598</v>
      </c>
      <c r="D6" s="11" t="n">
        <v>95</v>
      </c>
      <c r="E6" s="3" t="n">
        <v>0</v>
      </c>
      <c r="F6" s="3" t="n">
        <v>0</v>
      </c>
      <c r="G6" s="3" t="n">
        <v>580</v>
      </c>
      <c r="H6" s="3" t="s">
        <v>36</v>
      </c>
      <c r="I6" s="3" t="s">
        <v>37</v>
      </c>
      <c r="J6" s="3" t="s">
        <v>47</v>
      </c>
    </row>
    <row r="7" customFormat="false" ht="15" hidden="false" customHeight="false" outlineLevel="0" collapsed="false">
      <c r="A7" s="3" t="s">
        <v>48</v>
      </c>
      <c r="B7" s="3" t="s">
        <v>49</v>
      </c>
      <c r="C7" s="10" t="n">
        <v>45599</v>
      </c>
      <c r="D7" s="11" t="n">
        <v>58</v>
      </c>
      <c r="E7" s="3" t="n">
        <v>2</v>
      </c>
      <c r="F7" s="3" t="n">
        <v>0</v>
      </c>
      <c r="G7" s="3" t="n">
        <v>311</v>
      </c>
      <c r="H7" s="3" t="s">
        <v>31</v>
      </c>
      <c r="I7" s="2" t="s">
        <v>32</v>
      </c>
      <c r="J7" s="3" t="s">
        <v>33</v>
      </c>
    </row>
    <row r="8" customFormat="false" ht="15" hidden="false" customHeight="false" outlineLevel="0" collapsed="false">
      <c r="A8" s="3" t="s">
        <v>50</v>
      </c>
      <c r="B8" s="3" t="s">
        <v>51</v>
      </c>
      <c r="C8" s="10" t="n">
        <v>45601</v>
      </c>
      <c r="D8" s="11" t="n">
        <v>52</v>
      </c>
      <c r="E8" s="3" t="n">
        <v>0</v>
      </c>
      <c r="F8" s="3" t="n">
        <v>0</v>
      </c>
      <c r="G8" s="3" t="n">
        <v>28</v>
      </c>
      <c r="H8" s="3" t="s">
        <v>36</v>
      </c>
      <c r="I8" s="3" t="s">
        <v>37</v>
      </c>
      <c r="J8" s="3" t="s">
        <v>38</v>
      </c>
    </row>
    <row r="9" customFormat="false" ht="15" hidden="false" customHeight="false" outlineLevel="0" collapsed="false">
      <c r="A9" s="3" t="s">
        <v>52</v>
      </c>
      <c r="B9" s="3" t="s">
        <v>53</v>
      </c>
      <c r="C9" s="10" t="n">
        <v>45603</v>
      </c>
      <c r="D9" s="11" t="n">
        <v>129</v>
      </c>
      <c r="E9" s="3" t="n">
        <v>4</v>
      </c>
      <c r="F9" s="3" t="n">
        <v>0</v>
      </c>
      <c r="G9" s="3" t="n">
        <v>26</v>
      </c>
      <c r="H9" s="3" t="s">
        <v>31</v>
      </c>
      <c r="I9" s="2" t="s">
        <v>32</v>
      </c>
      <c r="J9" s="3" t="s">
        <v>33</v>
      </c>
    </row>
    <row r="10" customFormat="false" ht="15" hidden="false" customHeight="false" outlineLevel="0" collapsed="false">
      <c r="A10" s="3" t="s">
        <v>54</v>
      </c>
      <c r="B10" s="3" t="s">
        <v>55</v>
      </c>
      <c r="C10" s="10" t="n">
        <v>45615</v>
      </c>
      <c r="D10" s="11" t="n">
        <v>129</v>
      </c>
      <c r="E10" s="3" t="n">
        <v>2</v>
      </c>
      <c r="F10" s="3" t="n">
        <v>0</v>
      </c>
      <c r="G10" s="3" t="n">
        <v>1986</v>
      </c>
      <c r="H10" s="3" t="s">
        <v>31</v>
      </c>
      <c r="I10" s="2" t="s">
        <v>32</v>
      </c>
      <c r="J10" s="3" t="s">
        <v>33</v>
      </c>
    </row>
    <row r="11" customFormat="false" ht="15" hidden="false" customHeight="false" outlineLevel="0" collapsed="false">
      <c r="A11" s="3" t="s">
        <v>56</v>
      </c>
      <c r="B11" s="3" t="s">
        <v>57</v>
      </c>
      <c r="C11" s="10" t="n">
        <v>45619</v>
      </c>
      <c r="D11" s="11" t="n">
        <v>85</v>
      </c>
      <c r="E11" s="3" t="n">
        <v>0</v>
      </c>
      <c r="F11" s="3" t="n">
        <v>0</v>
      </c>
      <c r="G11" s="3" t="n">
        <v>1707</v>
      </c>
      <c r="H11" s="3" t="s">
        <v>36</v>
      </c>
      <c r="I11" s="3" t="s">
        <v>37</v>
      </c>
      <c r="J11" s="3" t="s">
        <v>38</v>
      </c>
    </row>
    <row r="12" customFormat="false" ht="15" hidden="false" customHeight="false" outlineLevel="0" collapsed="false">
      <c r="A12" s="3" t="s">
        <v>58</v>
      </c>
      <c r="B12" s="3" t="s">
        <v>59</v>
      </c>
      <c r="C12" s="10" t="n">
        <v>45620</v>
      </c>
      <c r="D12" s="11" t="n">
        <v>110</v>
      </c>
      <c r="E12" s="3" t="n">
        <v>0</v>
      </c>
      <c r="F12" s="3" t="n">
        <v>0</v>
      </c>
      <c r="G12" s="3" t="n">
        <v>576</v>
      </c>
      <c r="H12" s="3" t="s">
        <v>36</v>
      </c>
      <c r="I12" s="3" t="s">
        <v>37</v>
      </c>
      <c r="J12" s="3" t="s">
        <v>38</v>
      </c>
    </row>
    <row r="13" customFormat="false" ht="15" hidden="false" customHeight="false" outlineLevel="0" collapsed="false">
      <c r="A13" s="3" t="s">
        <v>60</v>
      </c>
      <c r="B13" s="3" t="s">
        <v>61</v>
      </c>
      <c r="C13" s="10" t="n">
        <v>45629</v>
      </c>
      <c r="D13" s="11" t="n">
        <v>134</v>
      </c>
      <c r="E13" s="3" t="n">
        <v>1</v>
      </c>
      <c r="F13" s="3" t="n">
        <v>0</v>
      </c>
      <c r="G13" s="3" t="n">
        <v>120</v>
      </c>
      <c r="H13" s="3" t="s">
        <v>36</v>
      </c>
      <c r="I13" s="3" t="s">
        <v>37</v>
      </c>
      <c r="J13" s="3" t="s">
        <v>38</v>
      </c>
    </row>
    <row r="14" customFormat="false" ht="15" hidden="false" customHeight="false" outlineLevel="0" collapsed="false">
      <c r="A14" s="3" t="s">
        <v>62</v>
      </c>
      <c r="B14" s="3" t="s">
        <v>63</v>
      </c>
      <c r="C14" s="10" t="n">
        <v>45632</v>
      </c>
      <c r="D14" s="11" t="n">
        <v>34</v>
      </c>
      <c r="E14" s="3" t="n">
        <v>1</v>
      </c>
      <c r="F14" s="3" t="n">
        <v>0</v>
      </c>
      <c r="G14" s="3" t="n">
        <v>1526</v>
      </c>
      <c r="H14" s="3" t="s">
        <v>36</v>
      </c>
      <c r="I14" s="3" t="s">
        <v>37</v>
      </c>
      <c r="J14" s="3" t="s">
        <v>38</v>
      </c>
    </row>
    <row r="15" customFormat="false" ht="15" hidden="false" customHeight="false" outlineLevel="0" collapsed="false">
      <c r="A15" s="3" t="s">
        <v>64</v>
      </c>
      <c r="B15" s="3" t="s">
        <v>65</v>
      </c>
      <c r="C15" s="10" t="n">
        <v>45635</v>
      </c>
      <c r="D15" s="11" t="n">
        <v>64</v>
      </c>
      <c r="E15" s="3" t="n">
        <v>1</v>
      </c>
      <c r="F15" s="3" t="n">
        <v>0</v>
      </c>
      <c r="G15" s="3" t="n">
        <v>396</v>
      </c>
      <c r="H15" s="3" t="s">
        <v>31</v>
      </c>
      <c r="I15" s="3" t="s">
        <v>37</v>
      </c>
      <c r="J15" s="3" t="s">
        <v>38</v>
      </c>
    </row>
    <row r="16" customFormat="false" ht="15" hidden="false" customHeight="false" outlineLevel="0" collapsed="false">
      <c r="A16" s="3" t="s">
        <v>66</v>
      </c>
      <c r="B16" s="3" t="s">
        <v>67</v>
      </c>
      <c r="C16" s="10" t="n">
        <v>45637</v>
      </c>
      <c r="D16" s="11" t="n">
        <v>42</v>
      </c>
      <c r="E16" s="3" t="n">
        <v>0</v>
      </c>
      <c r="F16" s="3" t="n">
        <v>0</v>
      </c>
      <c r="G16" s="3" t="n">
        <v>1538</v>
      </c>
      <c r="H16" s="3" t="s">
        <v>36</v>
      </c>
      <c r="I16" s="3" t="s">
        <v>37</v>
      </c>
      <c r="J16" s="3" t="s">
        <v>38</v>
      </c>
    </row>
    <row r="17" customFormat="false" ht="15" hidden="false" customHeight="false" outlineLevel="0" collapsed="false">
      <c r="A17" s="3" t="s">
        <v>68</v>
      </c>
      <c r="B17" s="3" t="s">
        <v>69</v>
      </c>
      <c r="C17" s="10" t="n">
        <v>45639</v>
      </c>
      <c r="D17" s="11" t="n">
        <v>134</v>
      </c>
      <c r="E17" s="3" t="n">
        <v>0</v>
      </c>
      <c r="F17" s="3" t="n">
        <v>0</v>
      </c>
      <c r="G17" s="3" t="n">
        <v>888</v>
      </c>
      <c r="H17" s="3" t="s">
        <v>36</v>
      </c>
      <c r="I17" s="3" t="s">
        <v>37</v>
      </c>
      <c r="J17" s="3" t="s">
        <v>38</v>
      </c>
    </row>
    <row r="18" customFormat="false" ht="15" hidden="false" customHeight="false" outlineLevel="0" collapsed="false">
      <c r="A18" s="3" t="s">
        <v>70</v>
      </c>
      <c r="B18" s="3" t="s">
        <v>71</v>
      </c>
      <c r="C18" s="10" t="n">
        <v>45649</v>
      </c>
      <c r="D18" s="11" t="n">
        <v>96</v>
      </c>
      <c r="E18" s="3" t="n">
        <v>0</v>
      </c>
      <c r="F18" s="3" t="n">
        <v>0</v>
      </c>
      <c r="G18" s="3" t="n">
        <v>149</v>
      </c>
      <c r="H18" s="3" t="s">
        <v>31</v>
      </c>
      <c r="I18" s="2" t="s">
        <v>72</v>
      </c>
      <c r="J18" s="3" t="s">
        <v>73</v>
      </c>
    </row>
    <row r="19" customFormat="false" ht="15" hidden="false" customHeight="false" outlineLevel="0" collapsed="false">
      <c r="A19" s="3" t="s">
        <v>74</v>
      </c>
      <c r="B19" s="3" t="s">
        <v>75</v>
      </c>
      <c r="C19" s="10" t="n">
        <v>45650</v>
      </c>
      <c r="D19" s="11" t="n">
        <v>189</v>
      </c>
      <c r="E19" s="3" t="n">
        <v>0</v>
      </c>
      <c r="F19" s="3" t="n">
        <v>0</v>
      </c>
      <c r="G19" s="3" t="n">
        <v>583</v>
      </c>
      <c r="H19" s="3" t="s">
        <v>36</v>
      </c>
      <c r="I19" s="2" t="s">
        <v>76</v>
      </c>
      <c r="J19" s="3" t="s">
        <v>77</v>
      </c>
    </row>
    <row r="20" customFormat="false" ht="15" hidden="false" customHeight="false" outlineLevel="0" collapsed="false">
      <c r="A20" s="3" t="s">
        <v>78</v>
      </c>
      <c r="B20" s="3" t="s">
        <v>79</v>
      </c>
      <c r="C20" s="10" t="n">
        <v>45652</v>
      </c>
      <c r="D20" s="11" t="n">
        <v>14</v>
      </c>
      <c r="E20" s="3" t="n">
        <v>0</v>
      </c>
      <c r="F20" s="3" t="n">
        <v>0</v>
      </c>
      <c r="G20" s="3" t="n">
        <v>159</v>
      </c>
      <c r="H20" s="3" t="s">
        <v>36</v>
      </c>
      <c r="I20" s="3" t="s">
        <v>37</v>
      </c>
      <c r="J20" s="3" t="s">
        <v>47</v>
      </c>
    </row>
    <row r="21" customFormat="false" ht="15" hidden="false" customHeight="false" outlineLevel="0" collapsed="false">
      <c r="A21" s="3" t="s">
        <v>80</v>
      </c>
      <c r="B21" s="3" t="s">
        <v>81</v>
      </c>
      <c r="C21" s="10" t="n">
        <v>45654</v>
      </c>
      <c r="D21" s="11" t="n">
        <v>72</v>
      </c>
      <c r="E21" s="3" t="n">
        <v>0</v>
      </c>
      <c r="F21" s="3" t="n">
        <v>0</v>
      </c>
      <c r="G21" s="3" t="n">
        <v>155</v>
      </c>
      <c r="H21" s="3" t="s">
        <v>36</v>
      </c>
      <c r="I21" s="3" t="s">
        <v>37</v>
      </c>
      <c r="J21" s="3" t="s">
        <v>47</v>
      </c>
    </row>
    <row r="22" customFormat="false" ht="15" hidden="false" customHeight="false" outlineLevel="0" collapsed="false">
      <c r="A22" s="3" t="s">
        <v>82</v>
      </c>
      <c r="B22" s="3" t="s">
        <v>83</v>
      </c>
      <c r="C22" s="10" t="n">
        <v>45660</v>
      </c>
      <c r="D22" s="11" t="n">
        <v>49</v>
      </c>
      <c r="E22" s="3" t="n">
        <v>0</v>
      </c>
      <c r="F22" s="3" t="n">
        <v>0</v>
      </c>
      <c r="G22" s="3" t="n">
        <v>1188</v>
      </c>
      <c r="H22" s="3" t="s">
        <v>36</v>
      </c>
      <c r="I22" s="3" t="s">
        <v>37</v>
      </c>
      <c r="J22" s="3" t="s">
        <v>38</v>
      </c>
    </row>
    <row r="23" customFormat="false" ht="15" hidden="false" customHeight="false" outlineLevel="0" collapsed="false">
      <c r="A23" s="3" t="s">
        <v>84</v>
      </c>
      <c r="B23" s="3" t="s">
        <v>85</v>
      </c>
      <c r="C23" s="10" t="n">
        <v>45661</v>
      </c>
      <c r="D23" s="11" t="n">
        <v>68</v>
      </c>
      <c r="E23" s="3" t="n">
        <v>1</v>
      </c>
      <c r="F23" s="3" t="n">
        <v>0</v>
      </c>
      <c r="G23" s="3" t="n">
        <v>788</v>
      </c>
      <c r="H23" s="3" t="s">
        <v>36</v>
      </c>
      <c r="I23" s="3" t="s">
        <v>37</v>
      </c>
      <c r="J23" s="3" t="s">
        <v>38</v>
      </c>
    </row>
    <row r="24" customFormat="false" ht="15" hidden="false" customHeight="false" outlineLevel="0" collapsed="false">
      <c r="A24" s="3" t="s">
        <v>86</v>
      </c>
      <c r="B24" s="3" t="s">
        <v>87</v>
      </c>
      <c r="C24" s="10" t="n">
        <v>45665</v>
      </c>
      <c r="D24" s="11" t="n">
        <v>68</v>
      </c>
      <c r="E24" s="3" t="n">
        <v>0</v>
      </c>
      <c r="F24" s="3" t="n">
        <v>0</v>
      </c>
      <c r="G24" s="3" t="n">
        <v>507</v>
      </c>
      <c r="H24" s="3" t="s">
        <v>36</v>
      </c>
      <c r="I24" s="3" t="s">
        <v>37</v>
      </c>
      <c r="J24" s="3" t="s">
        <v>38</v>
      </c>
    </row>
    <row r="25" customFormat="false" ht="15" hidden="false" customHeight="false" outlineLevel="0" collapsed="false">
      <c r="A25" s="3" t="s">
        <v>88</v>
      </c>
      <c r="B25" s="3" t="s">
        <v>89</v>
      </c>
      <c r="C25" s="10" t="n">
        <v>45670</v>
      </c>
      <c r="D25" s="11" t="n">
        <v>110</v>
      </c>
      <c r="E25" s="3" t="n">
        <v>0</v>
      </c>
      <c r="F25" s="3" t="n">
        <v>0</v>
      </c>
      <c r="G25" s="3" t="n">
        <v>926</v>
      </c>
      <c r="H25" s="3" t="s">
        <v>36</v>
      </c>
      <c r="I25" s="3" t="s">
        <v>37</v>
      </c>
      <c r="J25" s="3" t="s">
        <v>38</v>
      </c>
    </row>
    <row r="26" customFormat="false" ht="15" hidden="false" customHeight="false" outlineLevel="0" collapsed="false">
      <c r="A26" s="3" t="s">
        <v>90</v>
      </c>
      <c r="B26" s="3" t="s">
        <v>91</v>
      </c>
      <c r="C26" s="10" t="n">
        <v>45678</v>
      </c>
      <c r="D26" s="11" t="n">
        <v>64</v>
      </c>
      <c r="E26" s="3" t="n">
        <v>0</v>
      </c>
      <c r="F26" s="3" t="n">
        <v>0</v>
      </c>
      <c r="G26" s="3" t="n">
        <v>537</v>
      </c>
      <c r="H26" s="3" t="s">
        <v>36</v>
      </c>
      <c r="I26" s="3" t="s">
        <v>37</v>
      </c>
      <c r="J26" s="3" t="s">
        <v>47</v>
      </c>
    </row>
    <row r="27" customFormat="false" ht="15" hidden="false" customHeight="false" outlineLevel="0" collapsed="false">
      <c r="A27" s="3" t="s">
        <v>92</v>
      </c>
      <c r="B27" s="3" t="s">
        <v>93</v>
      </c>
      <c r="C27" s="10" t="n">
        <v>45679</v>
      </c>
      <c r="D27" s="11" t="n">
        <v>76</v>
      </c>
      <c r="E27" s="3" t="n">
        <v>3</v>
      </c>
      <c r="F27" s="3" t="n">
        <v>0</v>
      </c>
      <c r="G27" s="3" t="n">
        <v>25</v>
      </c>
      <c r="H27" s="3" t="s">
        <v>31</v>
      </c>
      <c r="I27" s="2" t="s">
        <v>32</v>
      </c>
      <c r="J27" s="3" t="s">
        <v>33</v>
      </c>
    </row>
    <row r="28" customFormat="false" ht="15" hidden="false" customHeight="false" outlineLevel="0" collapsed="false">
      <c r="A28" s="3" t="s">
        <v>94</v>
      </c>
      <c r="B28" s="3" t="s">
        <v>95</v>
      </c>
      <c r="C28" s="10" t="n">
        <v>45683</v>
      </c>
      <c r="D28" s="11" t="n">
        <v>142</v>
      </c>
      <c r="E28" s="3" t="n">
        <v>0</v>
      </c>
      <c r="F28" s="3" t="n">
        <v>0</v>
      </c>
      <c r="G28" s="3" t="n">
        <v>669</v>
      </c>
      <c r="H28" s="3" t="s">
        <v>36</v>
      </c>
      <c r="I28" s="2" t="s">
        <v>76</v>
      </c>
      <c r="J28" s="3" t="s">
        <v>77</v>
      </c>
    </row>
    <row r="29" customFormat="false" ht="15" hidden="false" customHeight="false" outlineLevel="0" collapsed="false">
      <c r="A29" s="3" t="s">
        <v>96</v>
      </c>
      <c r="B29" s="3" t="s">
        <v>97</v>
      </c>
      <c r="C29" s="10" t="n">
        <v>45686</v>
      </c>
      <c r="D29" s="11" t="n">
        <v>85</v>
      </c>
      <c r="E29" s="3" t="n">
        <v>0</v>
      </c>
      <c r="F29" s="3" t="n">
        <v>0</v>
      </c>
      <c r="G29" s="3" t="n">
        <v>1586</v>
      </c>
      <c r="H29" s="3" t="s">
        <v>31</v>
      </c>
      <c r="I29" s="2" t="s">
        <v>72</v>
      </c>
      <c r="J29" s="3" t="s">
        <v>73</v>
      </c>
    </row>
    <row r="30" customFormat="false" ht="15" hidden="false" customHeight="false" outlineLevel="0" collapsed="false">
      <c r="A30" s="3" t="s">
        <v>98</v>
      </c>
      <c r="B30" s="3" t="s">
        <v>99</v>
      </c>
      <c r="C30" s="10" t="n">
        <v>45689</v>
      </c>
      <c r="D30" s="11" t="n">
        <v>96</v>
      </c>
      <c r="E30" s="3" t="n">
        <v>0</v>
      </c>
      <c r="F30" s="3" t="n">
        <v>0</v>
      </c>
      <c r="G30" s="3" t="n">
        <v>1370</v>
      </c>
      <c r="H30" s="3" t="s">
        <v>36</v>
      </c>
      <c r="I30" s="3" t="s">
        <v>37</v>
      </c>
      <c r="J30" s="3" t="s">
        <v>47</v>
      </c>
    </row>
    <row r="31" customFormat="false" ht="15" hidden="false" customHeight="false" outlineLevel="0" collapsed="false">
      <c r="A31" s="3" t="s">
        <v>100</v>
      </c>
      <c r="B31" s="3" t="s">
        <v>101</v>
      </c>
      <c r="C31" s="10" t="n">
        <v>45695</v>
      </c>
      <c r="D31" s="11" t="n">
        <v>85</v>
      </c>
      <c r="E31" s="3" t="n">
        <v>1</v>
      </c>
      <c r="F31" s="3" t="n">
        <v>0</v>
      </c>
      <c r="G31" s="3" t="n">
        <v>1870</v>
      </c>
      <c r="H31" s="3" t="s">
        <v>31</v>
      </c>
      <c r="I31" s="2" t="s">
        <v>32</v>
      </c>
      <c r="J31" s="3" t="s">
        <v>33</v>
      </c>
    </row>
    <row r="32" customFormat="false" ht="15" hidden="false" customHeight="false" outlineLevel="0" collapsed="false">
      <c r="A32" s="3" t="s">
        <v>102</v>
      </c>
      <c r="B32" s="3" t="s">
        <v>103</v>
      </c>
      <c r="C32" s="10" t="n">
        <v>45698</v>
      </c>
      <c r="D32" s="11" t="n">
        <v>61</v>
      </c>
      <c r="E32" s="3" t="n">
        <v>0</v>
      </c>
      <c r="F32" s="3" t="n">
        <v>0</v>
      </c>
      <c r="G32" s="3" t="n">
        <v>1544</v>
      </c>
      <c r="H32" s="3" t="s">
        <v>36</v>
      </c>
      <c r="I32" s="3" t="s">
        <v>37</v>
      </c>
      <c r="J32" s="3" t="s">
        <v>38</v>
      </c>
    </row>
    <row r="33" customFormat="false" ht="15" hidden="false" customHeight="false" outlineLevel="0" collapsed="false">
      <c r="A33" s="3" t="s">
        <v>104</v>
      </c>
      <c r="B33" s="3" t="s">
        <v>105</v>
      </c>
      <c r="C33" s="10" t="n">
        <v>45723</v>
      </c>
      <c r="D33" s="11" t="n">
        <v>72</v>
      </c>
      <c r="E33" s="3" t="n">
        <v>0</v>
      </c>
      <c r="F33" s="3" t="n">
        <v>0</v>
      </c>
      <c r="G33" s="3" t="n">
        <v>344</v>
      </c>
      <c r="H33" s="3" t="s">
        <v>36</v>
      </c>
      <c r="I33" s="3" t="s">
        <v>37</v>
      </c>
      <c r="J33" s="3" t="s">
        <v>38</v>
      </c>
    </row>
    <row r="34" customFormat="false" ht="15" hidden="false" customHeight="false" outlineLevel="0" collapsed="false">
      <c r="A34" s="3" t="s">
        <v>106</v>
      </c>
      <c r="B34" s="3" t="s">
        <v>107</v>
      </c>
      <c r="C34" s="10" t="n">
        <v>45727</v>
      </c>
      <c r="D34" s="11" t="n">
        <v>76</v>
      </c>
      <c r="E34" s="3" t="n">
        <v>0</v>
      </c>
      <c r="F34" s="3" t="n">
        <v>0</v>
      </c>
      <c r="G34" s="3" t="n">
        <v>1189</v>
      </c>
      <c r="H34" s="3" t="s">
        <v>36</v>
      </c>
      <c r="I34" s="3" t="s">
        <v>37</v>
      </c>
      <c r="J34" s="3" t="s">
        <v>38</v>
      </c>
    </row>
    <row r="35" customFormat="false" ht="15" hidden="false" customHeight="false" outlineLevel="0" collapsed="false">
      <c r="A35" s="3" t="s">
        <v>108</v>
      </c>
      <c r="B35" s="3" t="s">
        <v>109</v>
      </c>
      <c r="C35" s="10" t="n">
        <v>45730</v>
      </c>
      <c r="D35" s="11" t="n">
        <v>22</v>
      </c>
      <c r="E35" s="3" t="n">
        <v>0</v>
      </c>
      <c r="F35" s="3" t="n">
        <v>0</v>
      </c>
      <c r="G35" s="3" t="n">
        <v>1676</v>
      </c>
      <c r="H35" s="3" t="s">
        <v>36</v>
      </c>
      <c r="I35" s="3" t="s">
        <v>37</v>
      </c>
      <c r="J35" s="3" t="s">
        <v>38</v>
      </c>
    </row>
    <row r="36" customFormat="false" ht="15" hidden="false" customHeight="false" outlineLevel="0" collapsed="false">
      <c r="A36" s="3" t="s">
        <v>110</v>
      </c>
      <c r="B36" s="3" t="s">
        <v>111</v>
      </c>
      <c r="C36" s="10" t="n">
        <v>45730</v>
      </c>
      <c r="D36" s="11" t="n">
        <v>64</v>
      </c>
      <c r="E36" s="3" t="n">
        <v>0</v>
      </c>
      <c r="F36" s="3" t="n">
        <v>0</v>
      </c>
      <c r="G36" s="3" t="n">
        <v>1108</v>
      </c>
      <c r="H36" s="3" t="s">
        <v>36</v>
      </c>
      <c r="I36" s="3" t="s">
        <v>37</v>
      </c>
      <c r="J36" s="3" t="s">
        <v>47</v>
      </c>
    </row>
    <row r="37" customFormat="false" ht="15" hidden="false" customHeight="false" outlineLevel="0" collapsed="false">
      <c r="A37" s="3" t="s">
        <v>112</v>
      </c>
      <c r="B37" s="3" t="s">
        <v>113</v>
      </c>
      <c r="C37" s="10" t="n">
        <v>45731</v>
      </c>
      <c r="D37" s="11" t="n">
        <v>61</v>
      </c>
      <c r="E37" s="3" t="n">
        <v>0</v>
      </c>
      <c r="F37" s="3" t="n">
        <v>0</v>
      </c>
      <c r="G37" s="3" t="n">
        <v>937</v>
      </c>
      <c r="H37" s="3" t="s">
        <v>36</v>
      </c>
      <c r="I37" s="3" t="s">
        <v>37</v>
      </c>
      <c r="J37" s="3" t="s">
        <v>38</v>
      </c>
    </row>
    <row r="38" customFormat="false" ht="15" hidden="false" customHeight="false" outlineLevel="0" collapsed="false">
      <c r="A38" s="3" t="s">
        <v>114</v>
      </c>
      <c r="B38" s="3" t="s">
        <v>115</v>
      </c>
      <c r="C38" s="10" t="n">
        <v>45733</v>
      </c>
      <c r="D38" s="11" t="n">
        <v>79</v>
      </c>
      <c r="E38" s="3" t="n">
        <v>4</v>
      </c>
      <c r="F38" s="3" t="n">
        <v>0</v>
      </c>
      <c r="G38" s="3" t="n">
        <v>2079</v>
      </c>
      <c r="H38" s="3" t="s">
        <v>31</v>
      </c>
      <c r="I38" s="2" t="s">
        <v>32</v>
      </c>
      <c r="J38" s="3" t="s">
        <v>116</v>
      </c>
    </row>
    <row r="39" customFormat="false" ht="15" hidden="false" customHeight="false" outlineLevel="0" collapsed="false">
      <c r="A39" s="3" t="s">
        <v>117</v>
      </c>
      <c r="B39" s="3" t="s">
        <v>118</v>
      </c>
      <c r="C39" s="10" t="n">
        <v>45736</v>
      </c>
      <c r="D39" s="11" t="n">
        <v>34</v>
      </c>
      <c r="E39" s="3" t="n">
        <v>1</v>
      </c>
      <c r="F39" s="3" t="n">
        <v>0</v>
      </c>
      <c r="G39" s="3" t="n">
        <v>1021</v>
      </c>
      <c r="H39" s="3" t="s">
        <v>36</v>
      </c>
      <c r="I39" s="3" t="s">
        <v>37</v>
      </c>
      <c r="J39" s="3" t="s">
        <v>38</v>
      </c>
    </row>
    <row r="40" customFormat="false" ht="15" hidden="false" customHeight="false" outlineLevel="0" collapsed="false">
      <c r="A40" s="3" t="s">
        <v>119</v>
      </c>
      <c r="B40" s="3" t="s">
        <v>120</v>
      </c>
      <c r="C40" s="10" t="n">
        <v>45739</v>
      </c>
      <c r="D40" s="11" t="n">
        <v>189</v>
      </c>
      <c r="E40" s="3" t="n">
        <v>0</v>
      </c>
      <c r="F40" s="3" t="n">
        <v>0</v>
      </c>
      <c r="G40" s="3" t="n">
        <v>218</v>
      </c>
      <c r="H40" s="3" t="s">
        <v>36</v>
      </c>
      <c r="I40" s="2" t="s">
        <v>76</v>
      </c>
      <c r="J40" s="3" t="s">
        <v>77</v>
      </c>
    </row>
    <row r="41" customFormat="false" ht="15" hidden="false" customHeight="false" outlineLevel="0" collapsed="false">
      <c r="A41" s="3" t="s">
        <v>121</v>
      </c>
      <c r="B41" s="3" t="s">
        <v>122</v>
      </c>
      <c r="C41" s="10" t="n">
        <v>45741</v>
      </c>
      <c r="D41" s="11" t="n">
        <v>49</v>
      </c>
      <c r="E41" s="3" t="n">
        <v>0</v>
      </c>
      <c r="F41" s="3" t="n">
        <v>0</v>
      </c>
      <c r="G41" s="3" t="n">
        <v>1078</v>
      </c>
      <c r="H41" s="3" t="s">
        <v>31</v>
      </c>
      <c r="I41" s="2" t="s">
        <v>72</v>
      </c>
      <c r="J41" s="3" t="s">
        <v>73</v>
      </c>
    </row>
    <row r="42" customFormat="false" ht="15" hidden="false" customHeight="false" outlineLevel="0" collapsed="false">
      <c r="A42" s="3" t="s">
        <v>123</v>
      </c>
      <c r="B42" s="3" t="s">
        <v>124</v>
      </c>
      <c r="C42" s="10" t="n">
        <v>45750</v>
      </c>
      <c r="D42" s="11" t="n">
        <v>49</v>
      </c>
      <c r="E42" s="3" t="n">
        <v>0</v>
      </c>
      <c r="F42" s="3" t="n">
        <v>0</v>
      </c>
      <c r="G42" s="3" t="n">
        <v>11</v>
      </c>
      <c r="H42" s="3" t="s">
        <v>36</v>
      </c>
      <c r="I42" s="3" t="s">
        <v>37</v>
      </c>
      <c r="J42" s="3" t="s">
        <v>38</v>
      </c>
    </row>
    <row r="43" customFormat="false" ht="15" hidden="false" customHeight="false" outlineLevel="0" collapsed="false">
      <c r="A43" s="3" t="s">
        <v>125</v>
      </c>
      <c r="B43" s="3" t="s">
        <v>126</v>
      </c>
      <c r="C43" s="10" t="n">
        <v>45754</v>
      </c>
      <c r="D43" s="11" t="n">
        <v>96</v>
      </c>
      <c r="E43" s="3" t="n">
        <v>0</v>
      </c>
      <c r="F43" s="3" t="n">
        <v>0</v>
      </c>
      <c r="G43" s="3" t="n">
        <v>1455</v>
      </c>
      <c r="H43" s="3" t="s">
        <v>36</v>
      </c>
      <c r="I43" s="3" t="s">
        <v>37</v>
      </c>
      <c r="J43" s="3" t="s">
        <v>38</v>
      </c>
    </row>
    <row r="44" customFormat="false" ht="15" hidden="false" customHeight="false" outlineLevel="0" collapsed="false">
      <c r="A44" s="3" t="s">
        <v>127</v>
      </c>
      <c r="B44" s="3" t="s">
        <v>128</v>
      </c>
      <c r="C44" s="10" t="n">
        <v>45755</v>
      </c>
      <c r="D44" s="11" t="n">
        <v>88</v>
      </c>
      <c r="E44" s="3" t="n">
        <v>5</v>
      </c>
      <c r="F44" s="3" t="n">
        <v>0</v>
      </c>
      <c r="G44" s="3" t="n">
        <v>720</v>
      </c>
      <c r="H44" s="3" t="s">
        <v>31</v>
      </c>
      <c r="I44" s="2" t="s">
        <v>32</v>
      </c>
      <c r="J44" s="3" t="s">
        <v>33</v>
      </c>
    </row>
    <row r="45" customFormat="false" ht="15" hidden="false" customHeight="false" outlineLevel="0" collapsed="false">
      <c r="A45" s="3" t="s">
        <v>129</v>
      </c>
      <c r="B45" s="3" t="s">
        <v>130</v>
      </c>
      <c r="C45" s="10" t="n">
        <v>45757</v>
      </c>
      <c r="D45" s="11" t="n">
        <v>39</v>
      </c>
      <c r="E45" s="3" t="n">
        <v>2</v>
      </c>
      <c r="F45" s="3" t="n">
        <v>0</v>
      </c>
      <c r="G45" s="3" t="n">
        <v>10</v>
      </c>
      <c r="H45" s="3" t="s">
        <v>31</v>
      </c>
      <c r="I45" s="2" t="s">
        <v>32</v>
      </c>
      <c r="J45" s="3" t="s">
        <v>33</v>
      </c>
    </row>
    <row r="46" customFormat="false" ht="15" hidden="false" customHeight="false" outlineLevel="0" collapsed="false">
      <c r="A46" s="3" t="s">
        <v>131</v>
      </c>
      <c r="B46" s="3" t="s">
        <v>132</v>
      </c>
      <c r="C46" s="10" t="n">
        <v>45759</v>
      </c>
      <c r="D46" s="11" t="n">
        <v>110</v>
      </c>
      <c r="E46" s="3" t="n">
        <v>0</v>
      </c>
      <c r="F46" s="3" t="n">
        <v>0</v>
      </c>
      <c r="G46" s="3" t="n">
        <v>773</v>
      </c>
      <c r="H46" s="3" t="s">
        <v>36</v>
      </c>
      <c r="I46" s="3" t="s">
        <v>37</v>
      </c>
      <c r="J46" s="3" t="s">
        <v>47</v>
      </c>
    </row>
    <row r="47" customFormat="false" ht="15" hidden="false" customHeight="false" outlineLevel="0" collapsed="false">
      <c r="A47" s="3" t="s">
        <v>133</v>
      </c>
      <c r="B47" s="3" t="s">
        <v>134</v>
      </c>
      <c r="C47" s="10" t="n">
        <v>45761</v>
      </c>
      <c r="D47" s="11" t="n">
        <v>39</v>
      </c>
      <c r="E47" s="3" t="n">
        <v>0</v>
      </c>
      <c r="F47" s="3" t="n">
        <v>0</v>
      </c>
      <c r="G47" s="3" t="n">
        <v>1619</v>
      </c>
      <c r="H47" s="3" t="s">
        <v>36</v>
      </c>
      <c r="I47" s="3" t="s">
        <v>37</v>
      </c>
      <c r="J47" s="3" t="s">
        <v>38</v>
      </c>
    </row>
    <row r="48" customFormat="false" ht="15" hidden="false" customHeight="false" outlineLevel="0" collapsed="false">
      <c r="A48" s="3" t="s">
        <v>135</v>
      </c>
      <c r="B48" s="3" t="s">
        <v>136</v>
      </c>
      <c r="C48" s="10" t="n">
        <v>45764</v>
      </c>
      <c r="D48" s="11" t="n">
        <v>58</v>
      </c>
      <c r="E48" s="3" t="n">
        <v>0</v>
      </c>
      <c r="F48" s="3" t="n">
        <v>0</v>
      </c>
      <c r="G48" s="3" t="n">
        <v>61</v>
      </c>
      <c r="H48" s="3" t="s">
        <v>36</v>
      </c>
      <c r="I48" s="3" t="s">
        <v>37</v>
      </c>
      <c r="J48" s="3" t="s">
        <v>47</v>
      </c>
    </row>
    <row r="49" customFormat="false" ht="15" hidden="false" customHeight="false" outlineLevel="0" collapsed="false">
      <c r="A49" s="3" t="s">
        <v>137</v>
      </c>
      <c r="B49" s="3" t="s">
        <v>138</v>
      </c>
      <c r="C49" s="10" t="n">
        <v>45766</v>
      </c>
      <c r="D49" s="11" t="n">
        <v>34</v>
      </c>
      <c r="E49" s="3" t="n">
        <v>3</v>
      </c>
      <c r="F49" s="3" t="n">
        <v>0</v>
      </c>
      <c r="G49" s="3" t="n">
        <v>380</v>
      </c>
      <c r="H49" s="3" t="s">
        <v>31</v>
      </c>
      <c r="I49" s="2" t="s">
        <v>32</v>
      </c>
      <c r="J49" s="3" t="s">
        <v>33</v>
      </c>
    </row>
    <row r="50" customFormat="false" ht="15" hidden="false" customHeight="false" outlineLevel="0" collapsed="false">
      <c r="A50" s="3" t="s">
        <v>139</v>
      </c>
      <c r="B50" s="3" t="s">
        <v>140</v>
      </c>
      <c r="C50" s="10" t="n">
        <v>45768</v>
      </c>
      <c r="D50" s="11" t="n">
        <v>34</v>
      </c>
      <c r="E50" s="3" t="n">
        <v>0</v>
      </c>
      <c r="F50" s="3" t="n">
        <v>0</v>
      </c>
      <c r="G50" s="3" t="n">
        <v>2156</v>
      </c>
      <c r="H50" s="3" t="s">
        <v>36</v>
      </c>
      <c r="I50" s="3" t="s">
        <v>37</v>
      </c>
      <c r="J50" s="3" t="s">
        <v>38</v>
      </c>
    </row>
    <row r="51" customFormat="false" ht="15" hidden="false" customHeight="false" outlineLevel="0" collapsed="false">
      <c r="A51" s="3" t="s">
        <v>141</v>
      </c>
      <c r="B51" s="3" t="s">
        <v>142</v>
      </c>
      <c r="C51" s="10" t="n">
        <v>45772</v>
      </c>
      <c r="D51" s="11" t="n">
        <v>68</v>
      </c>
      <c r="E51" s="3" t="n">
        <v>3</v>
      </c>
      <c r="F51" s="3" t="n">
        <v>0</v>
      </c>
      <c r="G51" s="3" t="n">
        <v>20</v>
      </c>
      <c r="H51" s="3" t="s">
        <v>31</v>
      </c>
      <c r="I51" s="2" t="s">
        <v>32</v>
      </c>
      <c r="J51" s="3" t="s">
        <v>116</v>
      </c>
    </row>
    <row r="52" customFormat="false" ht="15" hidden="false" customHeight="false" outlineLevel="0" collapsed="false">
      <c r="A52" s="3" t="s">
        <v>143</v>
      </c>
      <c r="B52" s="3" t="s">
        <v>144</v>
      </c>
      <c r="C52" s="10" t="n">
        <v>45772</v>
      </c>
      <c r="D52" s="11" t="n">
        <v>39</v>
      </c>
      <c r="E52" s="3" t="n">
        <v>0</v>
      </c>
      <c r="F52" s="3" t="n">
        <v>0</v>
      </c>
      <c r="G52" s="3" t="n">
        <v>1860</v>
      </c>
      <c r="H52" s="3" t="s">
        <v>36</v>
      </c>
      <c r="I52" s="3" t="s">
        <v>37</v>
      </c>
      <c r="J52" s="3" t="s">
        <v>38</v>
      </c>
    </row>
    <row r="53" customFormat="false" ht="15" hidden="false" customHeight="false" outlineLevel="0" collapsed="false">
      <c r="A53" s="3" t="s">
        <v>145</v>
      </c>
      <c r="B53" s="3" t="s">
        <v>146</v>
      </c>
      <c r="C53" s="10" t="n">
        <v>45775</v>
      </c>
      <c r="D53" s="11" t="n">
        <v>240</v>
      </c>
      <c r="E53" s="3" t="n">
        <v>2</v>
      </c>
      <c r="F53" s="3" t="n">
        <v>2</v>
      </c>
      <c r="G53" s="3" t="n">
        <v>62</v>
      </c>
      <c r="H53" s="3" t="s">
        <v>31</v>
      </c>
      <c r="I53" s="2" t="s">
        <v>147</v>
      </c>
      <c r="J53" s="3" t="s">
        <v>148</v>
      </c>
    </row>
    <row r="54" customFormat="false" ht="15" hidden="false" customHeight="false" outlineLevel="0" collapsed="false">
      <c r="A54" s="3" t="s">
        <v>149</v>
      </c>
      <c r="B54" s="3" t="s">
        <v>150</v>
      </c>
      <c r="C54" s="10" t="n">
        <v>45785</v>
      </c>
      <c r="D54" s="11" t="n">
        <v>189</v>
      </c>
      <c r="E54" s="3" t="n">
        <v>0</v>
      </c>
      <c r="F54" s="3" t="n">
        <v>0</v>
      </c>
      <c r="G54" s="3" t="n">
        <v>557</v>
      </c>
      <c r="H54" s="3" t="s">
        <v>36</v>
      </c>
      <c r="I54" s="2" t="s">
        <v>76</v>
      </c>
      <c r="J54" s="3" t="s">
        <v>77</v>
      </c>
    </row>
    <row r="55" customFormat="false" ht="15" hidden="false" customHeight="false" outlineLevel="0" collapsed="false">
      <c r="A55" s="3" t="s">
        <v>151</v>
      </c>
      <c r="B55" s="3" t="s">
        <v>152</v>
      </c>
      <c r="C55" s="10" t="n">
        <v>45787</v>
      </c>
      <c r="D55" s="11" t="n">
        <v>52</v>
      </c>
      <c r="E55" s="3" t="n">
        <v>0</v>
      </c>
      <c r="F55" s="3" t="n">
        <v>0</v>
      </c>
      <c r="G55" s="3" t="n">
        <v>1467</v>
      </c>
      <c r="H55" s="3" t="s">
        <v>31</v>
      </c>
      <c r="I55" s="2" t="s">
        <v>72</v>
      </c>
      <c r="J55" s="3" t="s">
        <v>73</v>
      </c>
    </row>
    <row r="56" customFormat="false" ht="15" hidden="false" customHeight="false" outlineLevel="0" collapsed="false">
      <c r="A56" s="3" t="s">
        <v>153</v>
      </c>
      <c r="B56" s="3" t="s">
        <v>154</v>
      </c>
      <c r="C56" s="10" t="n">
        <v>45789</v>
      </c>
      <c r="D56" s="11" t="n">
        <v>34</v>
      </c>
      <c r="E56" s="3" t="n">
        <v>0</v>
      </c>
      <c r="F56" s="3" t="n">
        <v>0</v>
      </c>
      <c r="G56" s="3" t="n">
        <v>417</v>
      </c>
      <c r="H56" s="3" t="s">
        <v>31</v>
      </c>
      <c r="I56" s="3" t="s">
        <v>41</v>
      </c>
      <c r="J56" s="3" t="s">
        <v>42</v>
      </c>
    </row>
    <row r="57" customFormat="false" ht="15" hidden="false" customHeight="false" outlineLevel="0" collapsed="false">
      <c r="A57" s="3" t="s">
        <v>155</v>
      </c>
      <c r="B57" s="3" t="s">
        <v>156</v>
      </c>
      <c r="C57" s="10" t="n">
        <v>45791</v>
      </c>
      <c r="D57" s="11" t="n">
        <v>34</v>
      </c>
      <c r="E57" s="3" t="n">
        <v>1</v>
      </c>
      <c r="F57" s="3" t="n">
        <v>0</v>
      </c>
      <c r="G57" s="3" t="n">
        <v>998</v>
      </c>
      <c r="H57" s="3" t="s">
        <v>31</v>
      </c>
      <c r="I57" s="3" t="s">
        <v>41</v>
      </c>
      <c r="J57" s="3" t="s">
        <v>157</v>
      </c>
    </row>
    <row r="58" customFormat="false" ht="15" hidden="false" customHeight="false" outlineLevel="0" collapsed="false">
      <c r="A58" s="3" t="s">
        <v>158</v>
      </c>
      <c r="B58" s="3" t="s">
        <v>159</v>
      </c>
      <c r="C58" s="10" t="n">
        <v>45792</v>
      </c>
      <c r="D58" s="11" t="n">
        <v>129</v>
      </c>
      <c r="E58" s="3" t="n">
        <v>2</v>
      </c>
      <c r="F58" s="3" t="n">
        <v>0</v>
      </c>
      <c r="G58" s="3" t="n">
        <v>2069</v>
      </c>
      <c r="H58" s="3" t="s">
        <v>31</v>
      </c>
      <c r="I58" s="3" t="s">
        <v>41</v>
      </c>
      <c r="J58" s="3" t="s">
        <v>42</v>
      </c>
    </row>
    <row r="59" customFormat="false" ht="15" hidden="false" customHeight="false" outlineLevel="0" collapsed="false">
      <c r="A59" s="3" t="s">
        <v>160</v>
      </c>
      <c r="B59" s="3" t="s">
        <v>161</v>
      </c>
      <c r="C59" s="10" t="n">
        <v>45794</v>
      </c>
      <c r="D59" s="11" t="n">
        <v>34</v>
      </c>
      <c r="E59" s="3" t="n">
        <v>0</v>
      </c>
      <c r="F59" s="3" t="n">
        <v>0</v>
      </c>
      <c r="G59" s="3" t="n">
        <v>1821</v>
      </c>
      <c r="H59" s="3" t="s">
        <v>36</v>
      </c>
      <c r="I59" s="3" t="s">
        <v>37</v>
      </c>
      <c r="J59" s="3" t="s">
        <v>38</v>
      </c>
    </row>
    <row r="60" customFormat="false" ht="15" hidden="false" customHeight="false" outlineLevel="0" collapsed="false">
      <c r="A60" s="3" t="s">
        <v>162</v>
      </c>
      <c r="B60" s="3" t="s">
        <v>163</v>
      </c>
      <c r="C60" s="10" t="n">
        <v>45794</v>
      </c>
      <c r="D60" s="11" t="n">
        <v>68</v>
      </c>
      <c r="E60" s="3" t="n">
        <v>0</v>
      </c>
      <c r="F60" s="3" t="n">
        <v>0</v>
      </c>
      <c r="G60" s="3" t="n">
        <v>2104</v>
      </c>
      <c r="H60" s="3" t="s">
        <v>36</v>
      </c>
      <c r="I60" s="3" t="s">
        <v>37</v>
      </c>
      <c r="J60" s="3" t="s">
        <v>47</v>
      </c>
    </row>
    <row r="61" customFormat="false" ht="15" hidden="false" customHeight="false" outlineLevel="0" collapsed="false">
      <c r="A61" s="3" t="s">
        <v>164</v>
      </c>
      <c r="B61" s="3" t="s">
        <v>165</v>
      </c>
      <c r="C61" s="10" t="n">
        <v>45797</v>
      </c>
      <c r="D61" s="11" t="n">
        <v>189</v>
      </c>
      <c r="E61" s="3" t="n">
        <v>1</v>
      </c>
      <c r="F61" s="3" t="n">
        <v>2</v>
      </c>
      <c r="G61" s="3" t="n">
        <v>146</v>
      </c>
      <c r="H61" s="3" t="s">
        <v>36</v>
      </c>
      <c r="I61" s="2" t="s">
        <v>147</v>
      </c>
      <c r="J61" s="3" t="s">
        <v>148</v>
      </c>
    </row>
    <row r="62" customFormat="false" ht="15" hidden="false" customHeight="false" outlineLevel="0" collapsed="false">
      <c r="A62" s="3" t="s">
        <v>166</v>
      </c>
      <c r="B62" s="3" t="s">
        <v>167</v>
      </c>
      <c r="C62" s="10" t="n">
        <v>45797</v>
      </c>
      <c r="D62" s="11" t="n">
        <v>44</v>
      </c>
      <c r="E62" s="3" t="n">
        <v>1</v>
      </c>
      <c r="F62" s="3" t="n">
        <v>0</v>
      </c>
      <c r="G62" s="3" t="n">
        <v>1923</v>
      </c>
      <c r="H62" s="3" t="s">
        <v>36</v>
      </c>
      <c r="I62" s="3" t="s">
        <v>37</v>
      </c>
      <c r="J62" s="3" t="s">
        <v>38</v>
      </c>
    </row>
    <row r="63" customFormat="false" ht="15" hidden="false" customHeight="false" outlineLevel="0" collapsed="false">
      <c r="A63" s="3" t="s">
        <v>168</v>
      </c>
      <c r="B63" s="3" t="s">
        <v>169</v>
      </c>
      <c r="C63" s="10" t="n">
        <v>45798</v>
      </c>
      <c r="D63" s="11" t="n">
        <v>72</v>
      </c>
      <c r="E63" s="3" t="n">
        <v>0</v>
      </c>
      <c r="F63" s="3" t="n">
        <v>0</v>
      </c>
      <c r="G63" s="3" t="n">
        <v>653</v>
      </c>
      <c r="H63" s="3" t="s">
        <v>31</v>
      </c>
      <c r="I63" s="2" t="s">
        <v>72</v>
      </c>
      <c r="J63" s="3" t="s">
        <v>73</v>
      </c>
    </row>
    <row r="64" customFormat="false" ht="15" hidden="false" customHeight="false" outlineLevel="0" collapsed="false">
      <c r="A64" s="3" t="s">
        <v>170</v>
      </c>
      <c r="B64" s="3" t="s">
        <v>171</v>
      </c>
      <c r="C64" s="10" t="n">
        <v>45799</v>
      </c>
      <c r="D64" s="11" t="n">
        <v>44</v>
      </c>
      <c r="E64" s="3" t="n">
        <v>5</v>
      </c>
      <c r="F64" s="3" t="n">
        <v>0</v>
      </c>
      <c r="G64" s="3" t="n">
        <v>1796</v>
      </c>
      <c r="H64" s="3" t="s">
        <v>31</v>
      </c>
      <c r="I64" s="2" t="s">
        <v>32</v>
      </c>
      <c r="J64" s="3" t="s">
        <v>116</v>
      </c>
    </row>
    <row r="65" customFormat="false" ht="15" hidden="false" customHeight="false" outlineLevel="0" collapsed="false">
      <c r="A65" s="3" t="s">
        <v>172</v>
      </c>
      <c r="B65" s="3" t="s">
        <v>173</v>
      </c>
      <c r="C65" s="10" t="n">
        <v>45805</v>
      </c>
      <c r="D65" s="11" t="n">
        <v>85</v>
      </c>
      <c r="E65" s="3" t="n">
        <v>1</v>
      </c>
      <c r="F65" s="3" t="n">
        <v>1</v>
      </c>
      <c r="G65" s="3" t="n">
        <v>1953</v>
      </c>
      <c r="H65" s="3" t="s">
        <v>31</v>
      </c>
      <c r="I65" s="3" t="s">
        <v>37</v>
      </c>
      <c r="J65" s="3" t="s">
        <v>47</v>
      </c>
    </row>
    <row r="66" customFormat="false" ht="15" hidden="false" customHeight="false" outlineLevel="0" collapsed="false">
      <c r="A66" s="3" t="s">
        <v>174</v>
      </c>
      <c r="B66" s="3" t="s">
        <v>175</v>
      </c>
      <c r="C66" s="10" t="n">
        <v>45805</v>
      </c>
      <c r="D66" s="11" t="n">
        <v>76</v>
      </c>
      <c r="E66" s="3" t="n">
        <v>0</v>
      </c>
      <c r="F66" s="3" t="n">
        <v>0</v>
      </c>
      <c r="G66" s="3" t="n">
        <v>479</v>
      </c>
      <c r="H66" s="3" t="s">
        <v>36</v>
      </c>
      <c r="I66" s="3" t="s">
        <v>37</v>
      </c>
      <c r="J66" s="3" t="s">
        <v>38</v>
      </c>
    </row>
    <row r="67" customFormat="false" ht="15" hidden="false" customHeight="false" outlineLevel="0" collapsed="false">
      <c r="A67" s="3" t="s">
        <v>176</v>
      </c>
      <c r="B67" s="3" t="s">
        <v>177</v>
      </c>
      <c r="C67" s="10" t="n">
        <v>45807</v>
      </c>
      <c r="D67" s="11" t="n">
        <v>49</v>
      </c>
      <c r="E67" s="3" t="n">
        <v>0</v>
      </c>
      <c r="F67" s="3" t="n">
        <v>0</v>
      </c>
      <c r="G67" s="3" t="n">
        <v>643</v>
      </c>
      <c r="H67" s="3" t="s">
        <v>36</v>
      </c>
      <c r="I67" s="3" t="s">
        <v>37</v>
      </c>
      <c r="J67" s="3" t="s">
        <v>38</v>
      </c>
    </row>
    <row r="68" customFormat="false" ht="15" hidden="false" customHeight="false" outlineLevel="0" collapsed="false">
      <c r="A68" s="3" t="s">
        <v>178</v>
      </c>
      <c r="B68" s="3" t="s">
        <v>179</v>
      </c>
      <c r="C68" s="10" t="n">
        <v>45809</v>
      </c>
      <c r="D68" s="11" t="n">
        <v>85</v>
      </c>
      <c r="E68" s="3" t="n">
        <v>0</v>
      </c>
      <c r="F68" s="3" t="n">
        <v>0</v>
      </c>
      <c r="G68" s="3" t="n">
        <v>2168</v>
      </c>
      <c r="H68" s="3" t="s">
        <v>36</v>
      </c>
      <c r="I68" s="3" t="s">
        <v>37</v>
      </c>
      <c r="J68" s="3" t="s">
        <v>38</v>
      </c>
    </row>
    <row r="69" customFormat="false" ht="15" hidden="false" customHeight="false" outlineLevel="0" collapsed="false">
      <c r="A69" s="3" t="s">
        <v>180</v>
      </c>
      <c r="B69" s="3" t="s">
        <v>181</v>
      </c>
      <c r="C69" s="10" t="n">
        <v>45810</v>
      </c>
      <c r="D69" s="11" t="n">
        <v>110</v>
      </c>
      <c r="E69" s="3" t="n">
        <v>0</v>
      </c>
      <c r="F69" s="3" t="n">
        <v>2</v>
      </c>
      <c r="G69" s="3" t="n">
        <v>2044</v>
      </c>
      <c r="H69" s="3" t="s">
        <v>31</v>
      </c>
      <c r="I69" s="3" t="s">
        <v>37</v>
      </c>
      <c r="J69" s="3" t="s">
        <v>47</v>
      </c>
    </row>
    <row r="70" customFormat="false" ht="15" hidden="false" customHeight="false" outlineLevel="0" collapsed="false">
      <c r="A70" s="3" t="s">
        <v>182</v>
      </c>
      <c r="B70" s="3" t="s">
        <v>183</v>
      </c>
      <c r="C70" s="10" t="n">
        <v>45824</v>
      </c>
      <c r="D70" s="11" t="n">
        <v>110</v>
      </c>
      <c r="E70" s="3" t="n">
        <v>4</v>
      </c>
      <c r="F70" s="3" t="n">
        <v>0</v>
      </c>
      <c r="G70" s="3" t="n">
        <v>22</v>
      </c>
      <c r="H70" s="3" t="s">
        <v>31</v>
      </c>
      <c r="I70" s="2" t="s">
        <v>32</v>
      </c>
      <c r="J70" s="3" t="s">
        <v>116</v>
      </c>
    </row>
    <row r="71" customFormat="false" ht="15" hidden="false" customHeight="false" outlineLevel="0" collapsed="false">
      <c r="A71" s="3" t="s">
        <v>184</v>
      </c>
      <c r="B71" s="3" t="s">
        <v>185</v>
      </c>
      <c r="C71" s="10" t="n">
        <v>45829</v>
      </c>
      <c r="D71" s="11" t="n">
        <v>22</v>
      </c>
      <c r="E71" s="3" t="n">
        <v>0</v>
      </c>
      <c r="F71" s="3" t="n">
        <v>0</v>
      </c>
      <c r="G71" s="3" t="n">
        <v>20</v>
      </c>
      <c r="H71" s="3" t="s">
        <v>36</v>
      </c>
      <c r="I71" s="3" t="s">
        <v>37</v>
      </c>
      <c r="J71" s="3" t="s">
        <v>38</v>
      </c>
    </row>
    <row r="72" customFormat="false" ht="15" hidden="false" customHeight="false" outlineLevel="0" collapsed="false">
      <c r="A72" s="3" t="s">
        <v>186</v>
      </c>
      <c r="B72" s="3" t="s">
        <v>187</v>
      </c>
      <c r="C72" s="10" t="n">
        <v>45835</v>
      </c>
      <c r="D72" s="11" t="n">
        <v>129</v>
      </c>
      <c r="E72" s="3" t="n">
        <v>1</v>
      </c>
      <c r="F72" s="3" t="n">
        <v>0</v>
      </c>
      <c r="G72" s="3" t="n">
        <v>45</v>
      </c>
      <c r="H72" s="3" t="s">
        <v>31</v>
      </c>
      <c r="I72" s="2" t="s">
        <v>72</v>
      </c>
      <c r="J72" s="3" t="s">
        <v>73</v>
      </c>
    </row>
    <row r="73" customFormat="false" ht="15" hidden="false" customHeight="false" outlineLevel="0" collapsed="false">
      <c r="A73" s="3" t="s">
        <v>188</v>
      </c>
      <c r="B73" s="3" t="s">
        <v>189</v>
      </c>
      <c r="C73" s="10" t="n">
        <v>45835</v>
      </c>
      <c r="D73" s="11" t="n">
        <v>22</v>
      </c>
      <c r="E73" s="3" t="n">
        <v>0</v>
      </c>
      <c r="F73" s="3" t="n">
        <v>0</v>
      </c>
      <c r="G73" s="3" t="n">
        <v>1897</v>
      </c>
      <c r="H73" s="3" t="s">
        <v>36</v>
      </c>
      <c r="I73" s="3" t="s">
        <v>37</v>
      </c>
      <c r="J73" s="3" t="s">
        <v>38</v>
      </c>
    </row>
    <row r="74" customFormat="false" ht="15" hidden="false" customHeight="false" outlineLevel="0" collapsed="false">
      <c r="A74" s="3" t="s">
        <v>190</v>
      </c>
      <c r="B74" s="3" t="s">
        <v>191</v>
      </c>
      <c r="C74" s="10" t="n">
        <v>45836</v>
      </c>
      <c r="D74" s="11" t="n">
        <v>85</v>
      </c>
      <c r="E74" s="3" t="n">
        <v>1</v>
      </c>
      <c r="F74" s="3" t="n">
        <v>0</v>
      </c>
      <c r="G74" s="3" t="n">
        <v>2012</v>
      </c>
      <c r="H74" s="3" t="s">
        <v>31</v>
      </c>
      <c r="I74" s="3" t="s">
        <v>37</v>
      </c>
      <c r="J74" s="3" t="s">
        <v>38</v>
      </c>
    </row>
    <row r="75" customFormat="false" ht="15" hidden="false" customHeight="false" outlineLevel="0" collapsed="false">
      <c r="A75" s="3" t="s">
        <v>192</v>
      </c>
      <c r="B75" s="3" t="s">
        <v>193</v>
      </c>
      <c r="C75" s="10" t="n">
        <v>45849</v>
      </c>
      <c r="D75" s="11" t="n">
        <v>76</v>
      </c>
      <c r="E75" s="3" t="n">
        <v>1</v>
      </c>
      <c r="F75" s="3" t="n">
        <v>0</v>
      </c>
      <c r="G75" s="3" t="n">
        <v>260</v>
      </c>
      <c r="H75" s="3" t="s">
        <v>31</v>
      </c>
      <c r="I75" s="2" t="s">
        <v>72</v>
      </c>
      <c r="J75" s="3" t="s">
        <v>73</v>
      </c>
    </row>
    <row r="76" customFormat="false" ht="15" hidden="false" customHeight="false" outlineLevel="0" collapsed="false">
      <c r="A76" s="3" t="s">
        <v>194</v>
      </c>
      <c r="B76" s="3" t="s">
        <v>195</v>
      </c>
      <c r="C76" s="10" t="n">
        <v>45850</v>
      </c>
      <c r="D76" s="11" t="n">
        <v>34</v>
      </c>
      <c r="E76" s="3" t="n">
        <v>0</v>
      </c>
      <c r="F76" s="3" t="n">
        <v>0</v>
      </c>
      <c r="G76" s="3" t="n">
        <v>391</v>
      </c>
      <c r="H76" s="3" t="s">
        <v>36</v>
      </c>
      <c r="I76" s="3" t="s">
        <v>37</v>
      </c>
      <c r="J76" s="3" t="s">
        <v>38</v>
      </c>
    </row>
    <row r="77" customFormat="false" ht="15" hidden="false" customHeight="false" outlineLevel="0" collapsed="false">
      <c r="A77" s="3" t="s">
        <v>196</v>
      </c>
      <c r="B77" s="3" t="s">
        <v>197</v>
      </c>
      <c r="C77" s="10" t="n">
        <v>45851</v>
      </c>
      <c r="D77" s="11" t="n">
        <v>52</v>
      </c>
      <c r="E77" s="3" t="n">
        <v>0</v>
      </c>
      <c r="F77" s="3" t="n">
        <v>0</v>
      </c>
      <c r="G77" s="3" t="n">
        <v>1129</v>
      </c>
      <c r="H77" s="3" t="s">
        <v>36</v>
      </c>
      <c r="I77" s="3" t="s">
        <v>37</v>
      </c>
      <c r="J77" s="3" t="s">
        <v>38</v>
      </c>
    </row>
    <row r="78" customFormat="false" ht="15" hidden="false" customHeight="false" outlineLevel="0" collapsed="false">
      <c r="A78" s="3" t="s">
        <v>198</v>
      </c>
      <c r="B78" s="3" t="s">
        <v>199</v>
      </c>
      <c r="C78" s="10" t="n">
        <v>45852</v>
      </c>
      <c r="D78" s="11" t="n">
        <v>72</v>
      </c>
      <c r="E78" s="3" t="n">
        <v>2</v>
      </c>
      <c r="F78" s="3" t="n">
        <v>0</v>
      </c>
      <c r="G78" s="3" t="n">
        <v>293</v>
      </c>
      <c r="H78" s="3" t="s">
        <v>31</v>
      </c>
      <c r="I78" s="2" t="s">
        <v>32</v>
      </c>
      <c r="J78" s="3" t="s">
        <v>33</v>
      </c>
    </row>
    <row r="79" customFormat="false" ht="15" hidden="false" customHeight="false" outlineLevel="0" collapsed="false">
      <c r="A79" s="3" t="s">
        <v>200</v>
      </c>
      <c r="B79" s="3" t="s">
        <v>201</v>
      </c>
      <c r="C79" s="10" t="n">
        <v>45854</v>
      </c>
      <c r="D79" s="11" t="n">
        <v>129</v>
      </c>
      <c r="E79" s="3" t="n">
        <v>3</v>
      </c>
      <c r="F79" s="3" t="n">
        <v>0</v>
      </c>
      <c r="G79" s="3" t="n">
        <v>527</v>
      </c>
      <c r="H79" s="3" t="s">
        <v>31</v>
      </c>
      <c r="I79" s="2" t="s">
        <v>32</v>
      </c>
      <c r="J79" s="3" t="s">
        <v>116</v>
      </c>
    </row>
    <row r="80" customFormat="false" ht="15" hidden="false" customHeight="false" outlineLevel="0" collapsed="false">
      <c r="A80" s="3" t="s">
        <v>202</v>
      </c>
      <c r="B80" s="3" t="s">
        <v>203</v>
      </c>
      <c r="C80" s="10" t="n">
        <v>45857</v>
      </c>
      <c r="D80" s="11" t="n">
        <v>85</v>
      </c>
      <c r="E80" s="3" t="n">
        <v>0</v>
      </c>
      <c r="F80" s="3" t="n">
        <v>0</v>
      </c>
      <c r="G80" s="3" t="n">
        <v>388</v>
      </c>
      <c r="H80" s="3" t="s">
        <v>31</v>
      </c>
      <c r="I80" s="3" t="s">
        <v>41</v>
      </c>
      <c r="J80" s="3" t="s">
        <v>157</v>
      </c>
    </row>
    <row r="81" customFormat="false" ht="15" hidden="false" customHeight="false" outlineLevel="0" collapsed="false">
      <c r="A81" s="3" t="s">
        <v>204</v>
      </c>
      <c r="B81" s="3" t="s">
        <v>205</v>
      </c>
      <c r="C81" s="10" t="n">
        <v>45858</v>
      </c>
      <c r="D81" s="11" t="n">
        <v>72</v>
      </c>
      <c r="E81" s="3" t="n">
        <v>0</v>
      </c>
      <c r="F81" s="3" t="n">
        <v>0</v>
      </c>
      <c r="G81" s="3" t="n">
        <v>1876</v>
      </c>
      <c r="H81" s="3" t="s">
        <v>36</v>
      </c>
      <c r="I81" s="3" t="s">
        <v>37</v>
      </c>
      <c r="J81" s="3" t="s">
        <v>38</v>
      </c>
    </row>
    <row r="82" customFormat="false" ht="15" hidden="false" customHeight="false" outlineLevel="0" collapsed="false">
      <c r="A82" s="3" t="s">
        <v>206</v>
      </c>
      <c r="B82" s="3" t="s">
        <v>207</v>
      </c>
      <c r="C82" s="10" t="n">
        <v>45858</v>
      </c>
      <c r="D82" s="11" t="n">
        <v>110</v>
      </c>
      <c r="E82" s="3" t="n">
        <v>0</v>
      </c>
      <c r="F82" s="3" t="n">
        <v>0</v>
      </c>
      <c r="G82" s="3" t="n">
        <v>1501</v>
      </c>
      <c r="H82" s="3" t="s">
        <v>36</v>
      </c>
      <c r="I82" s="3" t="s">
        <v>37</v>
      </c>
      <c r="J82" s="3" t="s">
        <v>38</v>
      </c>
    </row>
    <row r="83" customFormat="false" ht="15" hidden="false" customHeight="false" outlineLevel="0" collapsed="false">
      <c r="A83" s="3" t="s">
        <v>208</v>
      </c>
      <c r="B83" s="3" t="s">
        <v>209</v>
      </c>
      <c r="C83" s="10" t="n">
        <v>45860</v>
      </c>
      <c r="D83" s="11" t="n">
        <v>134</v>
      </c>
      <c r="E83" s="3" t="n">
        <v>0</v>
      </c>
      <c r="F83" s="3" t="n">
        <v>0</v>
      </c>
      <c r="G83" s="3" t="n">
        <v>2161</v>
      </c>
      <c r="H83" s="3" t="s">
        <v>36</v>
      </c>
      <c r="I83" s="3" t="s">
        <v>37</v>
      </c>
      <c r="J83" s="3" t="s">
        <v>47</v>
      </c>
    </row>
    <row r="84" customFormat="false" ht="15" hidden="false" customHeight="false" outlineLevel="0" collapsed="false">
      <c r="A84" s="3" t="s">
        <v>210</v>
      </c>
      <c r="B84" s="3" t="s">
        <v>146</v>
      </c>
      <c r="C84" s="10" t="n">
        <v>45863</v>
      </c>
      <c r="D84" s="11" t="n">
        <v>189</v>
      </c>
      <c r="E84" s="3" t="n">
        <v>1</v>
      </c>
      <c r="F84" s="3" t="n">
        <v>4</v>
      </c>
      <c r="G84" s="3" t="n">
        <v>92</v>
      </c>
      <c r="H84" s="3" t="s">
        <v>36</v>
      </c>
      <c r="I84" s="2" t="s">
        <v>147</v>
      </c>
      <c r="J84" s="3" t="s">
        <v>148</v>
      </c>
    </row>
    <row r="85" customFormat="false" ht="15" hidden="false" customHeight="false" outlineLevel="0" collapsed="false">
      <c r="A85" s="3" t="s">
        <v>211</v>
      </c>
      <c r="B85" s="3" t="s">
        <v>212</v>
      </c>
      <c r="C85" s="10" t="n">
        <v>45864</v>
      </c>
      <c r="D85" s="11" t="n">
        <v>110</v>
      </c>
      <c r="E85" s="3" t="n">
        <v>0</v>
      </c>
      <c r="F85" s="3" t="n">
        <v>0</v>
      </c>
      <c r="G85" s="3" t="n">
        <v>750</v>
      </c>
      <c r="H85" s="3" t="s">
        <v>36</v>
      </c>
      <c r="I85" s="3" t="s">
        <v>37</v>
      </c>
      <c r="J85" s="3" t="s">
        <v>38</v>
      </c>
    </row>
    <row r="86" customFormat="false" ht="15" hidden="false" customHeight="false" outlineLevel="0" collapsed="false">
      <c r="A86" s="3" t="s">
        <v>213</v>
      </c>
      <c r="B86" s="3" t="s">
        <v>214</v>
      </c>
      <c r="C86" s="10" t="n">
        <v>45871</v>
      </c>
      <c r="D86" s="11" t="n">
        <v>58</v>
      </c>
      <c r="E86" s="3" t="n">
        <v>0</v>
      </c>
      <c r="F86" s="3" t="n">
        <v>0</v>
      </c>
      <c r="G86" s="3" t="n">
        <v>1543</v>
      </c>
      <c r="H86" s="3" t="s">
        <v>36</v>
      </c>
      <c r="I86" s="3" t="s">
        <v>37</v>
      </c>
      <c r="J86" s="3" t="s">
        <v>38</v>
      </c>
    </row>
    <row r="87" customFormat="false" ht="15" hidden="false" customHeight="false" outlineLevel="0" collapsed="false">
      <c r="A87" s="3" t="s">
        <v>215</v>
      </c>
      <c r="B87" s="3" t="s">
        <v>216</v>
      </c>
      <c r="C87" s="10" t="n">
        <v>45873</v>
      </c>
      <c r="D87" s="11" t="n">
        <v>22</v>
      </c>
      <c r="E87" s="3" t="n">
        <v>0</v>
      </c>
      <c r="F87" s="3" t="n">
        <v>0</v>
      </c>
      <c r="G87" s="3" t="n">
        <v>157</v>
      </c>
      <c r="H87" s="3" t="s">
        <v>36</v>
      </c>
      <c r="I87" s="3" t="s">
        <v>37</v>
      </c>
      <c r="J87" s="3" t="s">
        <v>38</v>
      </c>
    </row>
    <row r="88" customFormat="false" ht="15" hidden="false" customHeight="false" outlineLevel="0" collapsed="false">
      <c r="A88" s="3" t="s">
        <v>217</v>
      </c>
      <c r="B88" s="3" t="s">
        <v>218</v>
      </c>
      <c r="C88" s="10" t="n">
        <v>45874</v>
      </c>
      <c r="D88" s="11" t="n">
        <v>72</v>
      </c>
      <c r="E88" s="3" t="n">
        <v>2</v>
      </c>
      <c r="F88" s="3" t="n">
        <v>0</v>
      </c>
      <c r="G88" s="3" t="n">
        <v>1987</v>
      </c>
      <c r="H88" s="3" t="s">
        <v>31</v>
      </c>
      <c r="I88" s="3" t="s">
        <v>37</v>
      </c>
      <c r="J88" s="3" t="s">
        <v>47</v>
      </c>
    </row>
    <row r="89" customFormat="false" ht="15" hidden="false" customHeight="false" outlineLevel="0" collapsed="false">
      <c r="A89" s="3" t="s">
        <v>219</v>
      </c>
      <c r="B89" s="3" t="s">
        <v>220</v>
      </c>
      <c r="C89" s="10" t="n">
        <v>45875</v>
      </c>
      <c r="D89" s="11" t="n">
        <v>148</v>
      </c>
      <c r="E89" s="3" t="n">
        <v>0</v>
      </c>
      <c r="F89" s="3" t="n">
        <v>0</v>
      </c>
      <c r="G89" s="3" t="n">
        <v>497</v>
      </c>
      <c r="H89" s="3" t="s">
        <v>36</v>
      </c>
      <c r="I89" s="2" t="s">
        <v>76</v>
      </c>
      <c r="J89" s="3" t="s">
        <v>77</v>
      </c>
    </row>
    <row r="90" customFormat="false" ht="15" hidden="false" customHeight="false" outlineLevel="0" collapsed="false">
      <c r="A90" s="3" t="s">
        <v>221</v>
      </c>
      <c r="B90" s="3" t="s">
        <v>222</v>
      </c>
      <c r="C90" s="10" t="n">
        <v>45878</v>
      </c>
      <c r="D90" s="11" t="n">
        <v>42</v>
      </c>
      <c r="E90" s="3" t="n">
        <v>0</v>
      </c>
      <c r="F90" s="3" t="n">
        <v>0</v>
      </c>
      <c r="G90" s="3" t="n">
        <v>1756</v>
      </c>
      <c r="H90" s="3" t="s">
        <v>36</v>
      </c>
      <c r="I90" s="3" t="s">
        <v>37</v>
      </c>
      <c r="J90" s="3" t="s">
        <v>38</v>
      </c>
    </row>
    <row r="91" customFormat="false" ht="15" hidden="false" customHeight="false" outlineLevel="0" collapsed="false">
      <c r="A91" s="3" t="s">
        <v>223</v>
      </c>
      <c r="B91" s="3" t="s">
        <v>224</v>
      </c>
      <c r="C91" s="10" t="n">
        <v>45887</v>
      </c>
      <c r="D91" s="11" t="n">
        <v>88</v>
      </c>
      <c r="E91" s="3" t="n">
        <v>2</v>
      </c>
      <c r="F91" s="3" t="n">
        <v>0</v>
      </c>
      <c r="G91" s="3" t="n">
        <v>27</v>
      </c>
      <c r="H91" s="3" t="s">
        <v>31</v>
      </c>
      <c r="I91" s="3" t="s">
        <v>37</v>
      </c>
      <c r="J91" s="3" t="s">
        <v>47</v>
      </c>
    </row>
    <row r="92" customFormat="false" ht="15" hidden="false" customHeight="false" outlineLevel="0" collapsed="false">
      <c r="A92" s="3" t="s">
        <v>225</v>
      </c>
      <c r="B92" s="3" t="s">
        <v>226</v>
      </c>
      <c r="C92" s="10" t="n">
        <v>45896</v>
      </c>
      <c r="D92" s="11" t="n">
        <v>34</v>
      </c>
      <c r="E92" s="3" t="n">
        <v>0</v>
      </c>
      <c r="F92" s="3" t="n">
        <v>0</v>
      </c>
      <c r="G92" s="3" t="n">
        <v>132</v>
      </c>
      <c r="H92" s="3" t="s">
        <v>36</v>
      </c>
      <c r="I92" s="3" t="s">
        <v>37</v>
      </c>
      <c r="J92" s="3" t="s">
        <v>38</v>
      </c>
    </row>
    <row r="93" customFormat="false" ht="15" hidden="false" customHeight="false" outlineLevel="0" collapsed="false">
      <c r="A93" s="3" t="s">
        <v>227</v>
      </c>
      <c r="B93" s="3" t="s">
        <v>228</v>
      </c>
      <c r="C93" s="10" t="n">
        <v>45897</v>
      </c>
      <c r="D93" s="11" t="n">
        <v>96</v>
      </c>
      <c r="E93" s="3" t="n">
        <v>0</v>
      </c>
      <c r="F93" s="3" t="n">
        <v>0</v>
      </c>
      <c r="G93" s="3" t="n">
        <v>581</v>
      </c>
      <c r="H93" s="3" t="s">
        <v>36</v>
      </c>
      <c r="I93" s="3" t="s">
        <v>37</v>
      </c>
      <c r="J93" s="3" t="s">
        <v>38</v>
      </c>
    </row>
    <row r="94" customFormat="false" ht="15" hidden="false" customHeight="false" outlineLevel="0" collapsed="false">
      <c r="A94" s="3" t="s">
        <v>229</v>
      </c>
      <c r="B94" s="3" t="s">
        <v>230</v>
      </c>
      <c r="C94" s="10" t="n">
        <v>45899</v>
      </c>
      <c r="D94" s="11" t="n">
        <v>110</v>
      </c>
      <c r="E94" s="3" t="n">
        <v>1</v>
      </c>
      <c r="F94" s="3" t="n">
        <v>0</v>
      </c>
      <c r="G94" s="3" t="n">
        <v>465</v>
      </c>
      <c r="H94" s="3" t="s">
        <v>36</v>
      </c>
      <c r="I94" s="3" t="s">
        <v>37</v>
      </c>
      <c r="J94" s="3" t="s">
        <v>38</v>
      </c>
    </row>
    <row r="95" customFormat="false" ht="15" hidden="false" customHeight="false" outlineLevel="0" collapsed="false">
      <c r="A95" s="3" t="s">
        <v>231</v>
      </c>
      <c r="B95" s="3" t="s">
        <v>232</v>
      </c>
      <c r="C95" s="10" t="n">
        <v>45901</v>
      </c>
      <c r="D95" s="11" t="n">
        <v>110</v>
      </c>
      <c r="E95" s="3" t="n">
        <v>2</v>
      </c>
      <c r="F95" s="3" t="n">
        <v>0</v>
      </c>
      <c r="G95" s="3" t="n">
        <v>16</v>
      </c>
      <c r="H95" s="3" t="s">
        <v>31</v>
      </c>
      <c r="I95" s="2" t="s">
        <v>32</v>
      </c>
      <c r="J95" s="3" t="s">
        <v>33</v>
      </c>
    </row>
    <row r="96" customFormat="false" ht="15" hidden="false" customHeight="false" outlineLevel="0" collapsed="false">
      <c r="A96" s="3" t="s">
        <v>233</v>
      </c>
      <c r="B96" s="3" t="s">
        <v>234</v>
      </c>
      <c r="C96" s="10" t="n">
        <v>45905</v>
      </c>
      <c r="D96" s="11" t="n">
        <v>58</v>
      </c>
      <c r="E96" s="3" t="n">
        <v>0</v>
      </c>
      <c r="F96" s="3" t="n">
        <v>0</v>
      </c>
      <c r="G96" s="3" t="n">
        <v>961</v>
      </c>
      <c r="H96" s="3" t="s">
        <v>36</v>
      </c>
      <c r="I96" s="3" t="s">
        <v>37</v>
      </c>
      <c r="J96" s="3" t="s">
        <v>38</v>
      </c>
    </row>
    <row r="97" customFormat="false" ht="15" hidden="false" customHeight="false" outlineLevel="0" collapsed="false">
      <c r="A97" s="3" t="s">
        <v>235</v>
      </c>
      <c r="B97" s="3" t="s">
        <v>236</v>
      </c>
      <c r="C97" s="10" t="n">
        <v>45905</v>
      </c>
      <c r="D97" s="11" t="n">
        <v>22</v>
      </c>
      <c r="E97" s="3" t="n">
        <v>0</v>
      </c>
      <c r="F97" s="3" t="n">
        <v>0</v>
      </c>
      <c r="G97" s="3" t="n">
        <v>1960</v>
      </c>
      <c r="H97" s="3" t="s">
        <v>36</v>
      </c>
      <c r="I97" s="3" t="s">
        <v>37</v>
      </c>
      <c r="J97" s="3" t="s">
        <v>38</v>
      </c>
    </row>
    <row r="98" customFormat="false" ht="15" hidden="false" customHeight="false" outlineLevel="0" collapsed="false">
      <c r="A98" s="3" t="s">
        <v>237</v>
      </c>
      <c r="B98" s="3" t="s">
        <v>238</v>
      </c>
      <c r="C98" s="10" t="n">
        <v>45907</v>
      </c>
      <c r="D98" s="11" t="n">
        <v>110</v>
      </c>
      <c r="E98" s="3" t="n">
        <v>0</v>
      </c>
      <c r="F98" s="3" t="n">
        <v>0</v>
      </c>
      <c r="G98" s="3" t="n">
        <v>500</v>
      </c>
      <c r="H98" s="3" t="s">
        <v>36</v>
      </c>
      <c r="I98" s="2" t="s">
        <v>76</v>
      </c>
      <c r="J98" s="3" t="s">
        <v>77</v>
      </c>
    </row>
    <row r="99" customFormat="false" ht="15" hidden="false" customHeight="false" outlineLevel="0" collapsed="false">
      <c r="A99" s="3" t="s">
        <v>239</v>
      </c>
      <c r="B99" s="3" t="s">
        <v>240</v>
      </c>
      <c r="C99" s="10" t="n">
        <v>45908</v>
      </c>
      <c r="D99" s="11" t="n">
        <v>129</v>
      </c>
      <c r="E99" s="3" t="n">
        <v>1</v>
      </c>
      <c r="F99" s="3" t="n">
        <v>0</v>
      </c>
      <c r="G99" s="3" t="n">
        <v>1494</v>
      </c>
      <c r="H99" s="3" t="s">
        <v>36</v>
      </c>
      <c r="I99" s="3" t="s">
        <v>37</v>
      </c>
      <c r="J99" s="3" t="s">
        <v>38</v>
      </c>
    </row>
    <row r="100" customFormat="false" ht="15" hidden="false" customHeight="false" outlineLevel="0" collapsed="false">
      <c r="A100" s="3" t="s">
        <v>241</v>
      </c>
      <c r="B100" s="3" t="s">
        <v>242</v>
      </c>
      <c r="C100" s="10" t="n">
        <v>45911</v>
      </c>
      <c r="D100" s="11" t="n">
        <v>110</v>
      </c>
      <c r="E100" s="3" t="n">
        <v>0</v>
      </c>
      <c r="F100" s="3" t="n">
        <v>0</v>
      </c>
      <c r="G100" s="3" t="n">
        <v>256</v>
      </c>
      <c r="H100" s="3" t="s">
        <v>36</v>
      </c>
      <c r="I100" s="2" t="s">
        <v>76</v>
      </c>
      <c r="J100" s="3" t="s">
        <v>77</v>
      </c>
    </row>
    <row r="101" customFormat="false" ht="15" hidden="false" customHeight="false" outlineLevel="0" collapsed="false">
      <c r="A101" s="3" t="s">
        <v>243</v>
      </c>
      <c r="B101" s="3" t="s">
        <v>244</v>
      </c>
      <c r="C101" s="10" t="n">
        <v>45916</v>
      </c>
      <c r="D101" s="11" t="n">
        <v>212</v>
      </c>
      <c r="E101" s="3" t="n">
        <v>1</v>
      </c>
      <c r="F101" s="3" t="n">
        <v>2</v>
      </c>
      <c r="G101" s="3" t="n">
        <v>1500</v>
      </c>
      <c r="H101" s="3" t="s">
        <v>36</v>
      </c>
      <c r="I101" s="2" t="s">
        <v>147</v>
      </c>
      <c r="J101" s="3" t="s">
        <v>148</v>
      </c>
    </row>
    <row r="102" customFormat="false" ht="15" hidden="false" customHeight="false" outlineLevel="0" collapsed="false">
      <c r="A102" s="3" t="s">
        <v>245</v>
      </c>
      <c r="B102" s="3" t="s">
        <v>246</v>
      </c>
      <c r="C102" s="10" t="n">
        <v>45916</v>
      </c>
      <c r="D102" s="11" t="n">
        <v>52</v>
      </c>
      <c r="E102" s="3" t="n">
        <v>0</v>
      </c>
      <c r="F102" s="3" t="n">
        <v>0</v>
      </c>
      <c r="G102" s="3" t="n">
        <v>1187</v>
      </c>
      <c r="H102" s="3" t="s">
        <v>31</v>
      </c>
      <c r="I102" s="3" t="s">
        <v>41</v>
      </c>
      <c r="J102" s="3" t="s">
        <v>157</v>
      </c>
    </row>
    <row r="103" customFormat="false" ht="15" hidden="false" customHeight="false" outlineLevel="0" collapsed="false">
      <c r="A103" s="3" t="s">
        <v>247</v>
      </c>
      <c r="B103" s="3" t="s">
        <v>248</v>
      </c>
      <c r="C103" s="10" t="n">
        <v>45920</v>
      </c>
      <c r="D103" s="11" t="n">
        <v>85</v>
      </c>
      <c r="E103" s="3" t="n">
        <v>0</v>
      </c>
      <c r="F103" s="3" t="n">
        <v>0</v>
      </c>
      <c r="G103" s="3" t="n">
        <v>695</v>
      </c>
      <c r="H103" s="3" t="s">
        <v>36</v>
      </c>
      <c r="I103" s="3" t="s">
        <v>37</v>
      </c>
      <c r="J103" s="3" t="s">
        <v>38</v>
      </c>
    </row>
    <row r="104" customFormat="false" ht="15" hidden="false" customHeight="false" outlineLevel="0" collapsed="false">
      <c r="A104" s="3" t="s">
        <v>249</v>
      </c>
      <c r="B104" s="3" t="s">
        <v>165</v>
      </c>
      <c r="C104" s="10" t="n">
        <v>45923</v>
      </c>
      <c r="D104" s="11" t="n">
        <v>240</v>
      </c>
      <c r="E104" s="3" t="n">
        <v>2</v>
      </c>
      <c r="F104" s="3" t="n">
        <v>3</v>
      </c>
      <c r="G104" s="3" t="n">
        <v>83</v>
      </c>
      <c r="H104" s="3" t="s">
        <v>31</v>
      </c>
      <c r="I104" s="2" t="s">
        <v>147</v>
      </c>
      <c r="J104" s="3" t="s">
        <v>148</v>
      </c>
    </row>
    <row r="105" customFormat="false" ht="15" hidden="false" customHeight="false" outlineLevel="0" collapsed="false">
      <c r="A105" s="3" t="s">
        <v>250</v>
      </c>
      <c r="B105" s="3" t="s">
        <v>251</v>
      </c>
      <c r="C105" s="10" t="n">
        <v>45924</v>
      </c>
      <c r="D105" s="11" t="n">
        <v>68</v>
      </c>
      <c r="E105" s="3" t="n">
        <v>1</v>
      </c>
      <c r="F105" s="3" t="n">
        <v>0</v>
      </c>
      <c r="G105" s="3" t="n">
        <v>664</v>
      </c>
      <c r="H105" s="3" t="s">
        <v>31</v>
      </c>
      <c r="I105" s="2" t="s">
        <v>72</v>
      </c>
      <c r="J105" s="3" t="s">
        <v>73</v>
      </c>
    </row>
    <row r="106" customFormat="false" ht="15" hidden="false" customHeight="false" outlineLevel="0" collapsed="false">
      <c r="A106" s="3" t="s">
        <v>252</v>
      </c>
      <c r="B106" s="3" t="s">
        <v>253</v>
      </c>
      <c r="C106" s="10" t="n">
        <v>45928</v>
      </c>
      <c r="D106" s="11" t="n">
        <v>189</v>
      </c>
      <c r="E106" s="3" t="n">
        <v>1</v>
      </c>
      <c r="F106" s="3" t="n">
        <v>2</v>
      </c>
      <c r="G106" s="3" t="n">
        <v>65</v>
      </c>
      <c r="H106" s="3" t="s">
        <v>36</v>
      </c>
      <c r="I106" s="2" t="s">
        <v>147</v>
      </c>
      <c r="J106" s="3" t="s">
        <v>148</v>
      </c>
    </row>
    <row r="107" customFormat="false" ht="15" hidden="false" customHeight="false" outlineLevel="0" collapsed="false">
      <c r="A107" s="3" t="s">
        <v>254</v>
      </c>
      <c r="B107" s="3" t="s">
        <v>255</v>
      </c>
      <c r="C107" s="10" t="n">
        <v>45932</v>
      </c>
      <c r="D107" s="11" t="n">
        <v>134</v>
      </c>
      <c r="E107" s="3" t="n">
        <v>0</v>
      </c>
      <c r="F107" s="3" t="n">
        <v>0</v>
      </c>
      <c r="G107" s="3" t="n">
        <v>2070</v>
      </c>
      <c r="H107" s="3" t="s">
        <v>36</v>
      </c>
      <c r="I107" s="3" t="s">
        <v>37</v>
      </c>
      <c r="J107" s="3" t="s">
        <v>47</v>
      </c>
    </row>
    <row r="108" customFormat="false" ht="15" hidden="false" customHeight="false" outlineLevel="0" collapsed="false">
      <c r="A108" s="3" t="s">
        <v>256</v>
      </c>
      <c r="B108" s="3" t="s">
        <v>257</v>
      </c>
      <c r="C108" s="10" t="n">
        <v>45937</v>
      </c>
      <c r="D108" s="11" t="n">
        <v>76</v>
      </c>
      <c r="E108" s="3" t="n">
        <v>2</v>
      </c>
      <c r="F108" s="3" t="n">
        <v>0</v>
      </c>
      <c r="G108" s="3" t="n">
        <v>1313</v>
      </c>
      <c r="H108" s="3" t="s">
        <v>31</v>
      </c>
      <c r="I108" s="2" t="s">
        <v>32</v>
      </c>
      <c r="J108" s="3" t="s">
        <v>33</v>
      </c>
    </row>
    <row r="109" customFormat="false" ht="15" hidden="false" customHeight="false" outlineLevel="0" collapsed="false">
      <c r="A109" s="3" t="s">
        <v>258</v>
      </c>
      <c r="B109" s="3" t="s">
        <v>259</v>
      </c>
      <c r="C109" s="10" t="n">
        <v>45948</v>
      </c>
      <c r="D109" s="11" t="n">
        <v>61</v>
      </c>
      <c r="E109" s="3" t="n">
        <v>0</v>
      </c>
      <c r="F109" s="3" t="n">
        <v>0</v>
      </c>
      <c r="G109" s="3" t="n">
        <v>342</v>
      </c>
      <c r="H109" s="3" t="s">
        <v>36</v>
      </c>
      <c r="I109" s="3" t="s">
        <v>37</v>
      </c>
      <c r="J109" s="3" t="s">
        <v>38</v>
      </c>
    </row>
    <row r="110" customFormat="false" ht="15" hidden="false" customHeight="false" outlineLevel="0" collapsed="false">
      <c r="A110" s="3" t="s">
        <v>260</v>
      </c>
      <c r="B110" s="3" t="s">
        <v>261</v>
      </c>
      <c r="C110" s="10" t="n">
        <v>45956</v>
      </c>
      <c r="D110" s="11" t="n">
        <v>165</v>
      </c>
      <c r="E110" s="3" t="n">
        <v>0</v>
      </c>
      <c r="F110" s="3" t="n">
        <v>0</v>
      </c>
      <c r="G110" s="3" t="n">
        <v>519</v>
      </c>
      <c r="H110" s="3" t="s">
        <v>36</v>
      </c>
      <c r="I110" s="2" t="s">
        <v>76</v>
      </c>
      <c r="J110" s="3" t="s">
        <v>77</v>
      </c>
    </row>
    <row r="111" customFormat="false" ht="15" hidden="false" customHeight="false" outlineLevel="0" collapsed="false">
      <c r="A111" s="3" t="s">
        <v>262</v>
      </c>
      <c r="B111" s="3" t="s">
        <v>263</v>
      </c>
      <c r="C111" s="10" t="n">
        <v>45962</v>
      </c>
      <c r="D111" s="11" t="n">
        <v>76</v>
      </c>
      <c r="E111" s="3" t="n">
        <v>0</v>
      </c>
      <c r="F111" s="3" t="n">
        <v>0</v>
      </c>
      <c r="G111" s="3" t="n">
        <v>1146</v>
      </c>
      <c r="H111" s="3" t="s">
        <v>36</v>
      </c>
      <c r="I111" s="3" t="s">
        <v>37</v>
      </c>
      <c r="J111" s="3" t="s">
        <v>38</v>
      </c>
    </row>
    <row r="112" customFormat="false" ht="15" hidden="false" customHeight="false" outlineLevel="0" collapsed="false">
      <c r="A112" s="3" t="s">
        <v>264</v>
      </c>
      <c r="B112" s="3" t="s">
        <v>265</v>
      </c>
      <c r="C112" s="10" t="n">
        <v>45962</v>
      </c>
      <c r="D112" s="11" t="n">
        <v>76</v>
      </c>
      <c r="E112" s="3" t="n">
        <v>0</v>
      </c>
      <c r="F112" s="3" t="n">
        <v>0</v>
      </c>
      <c r="G112" s="3" t="n">
        <v>15</v>
      </c>
      <c r="H112" s="3" t="s">
        <v>36</v>
      </c>
      <c r="I112" s="3" t="s">
        <v>37</v>
      </c>
      <c r="J112" s="3" t="s">
        <v>38</v>
      </c>
    </row>
    <row r="113" customFormat="false" ht="15" hidden="false" customHeight="false" outlineLevel="0" collapsed="false">
      <c r="A113" s="3" t="s">
        <v>266</v>
      </c>
      <c r="B113" s="3" t="s">
        <v>267</v>
      </c>
      <c r="C113" s="10" t="n">
        <v>45970</v>
      </c>
      <c r="D113" s="11" t="n">
        <v>44</v>
      </c>
      <c r="E113" s="3" t="n">
        <v>1</v>
      </c>
      <c r="F113" s="3" t="n">
        <v>0</v>
      </c>
      <c r="G113" s="3" t="n">
        <v>28</v>
      </c>
      <c r="H113" s="3" t="s">
        <v>31</v>
      </c>
      <c r="I113" s="2" t="s">
        <v>32</v>
      </c>
      <c r="J113" s="3" t="s">
        <v>33</v>
      </c>
    </row>
    <row r="114" customFormat="false" ht="15" hidden="false" customHeight="false" outlineLevel="0" collapsed="false">
      <c r="A114" s="3" t="s">
        <v>268</v>
      </c>
      <c r="B114" s="3" t="s">
        <v>269</v>
      </c>
      <c r="C114" s="10" t="n">
        <v>45977</v>
      </c>
      <c r="D114" s="11" t="n">
        <v>110</v>
      </c>
      <c r="E114" s="3" t="n">
        <v>0</v>
      </c>
      <c r="F114" s="3" t="n">
        <v>0</v>
      </c>
      <c r="G114" s="3" t="n">
        <v>285</v>
      </c>
      <c r="H114" s="3" t="s">
        <v>36</v>
      </c>
      <c r="I114" s="2" t="s">
        <v>76</v>
      </c>
      <c r="J114" s="3" t="s">
        <v>77</v>
      </c>
    </row>
    <row r="115" customFormat="false" ht="15" hidden="false" customHeight="false" outlineLevel="0" collapsed="false">
      <c r="A115" s="3" t="s">
        <v>270</v>
      </c>
      <c r="B115" s="3" t="s">
        <v>271</v>
      </c>
      <c r="C115" s="10" t="n">
        <v>45978</v>
      </c>
      <c r="D115" s="11" t="n">
        <v>44</v>
      </c>
      <c r="E115" s="3" t="n">
        <v>0</v>
      </c>
      <c r="F115" s="3" t="n">
        <v>0</v>
      </c>
      <c r="G115" s="3" t="n">
        <v>858</v>
      </c>
      <c r="H115" s="3" t="s">
        <v>36</v>
      </c>
      <c r="I115" s="3" t="s">
        <v>37</v>
      </c>
      <c r="J115" s="3" t="s">
        <v>38</v>
      </c>
    </row>
    <row r="116" customFormat="false" ht="15" hidden="false" customHeight="false" outlineLevel="0" collapsed="false">
      <c r="A116" s="3" t="s">
        <v>272</v>
      </c>
      <c r="B116" s="3" t="s">
        <v>273</v>
      </c>
      <c r="C116" s="10" t="n">
        <v>45984</v>
      </c>
      <c r="D116" s="11" t="n">
        <v>64</v>
      </c>
      <c r="E116" s="3" t="n">
        <v>1</v>
      </c>
      <c r="F116" s="3" t="n">
        <v>0</v>
      </c>
      <c r="G116" s="3" t="n">
        <v>2026</v>
      </c>
      <c r="H116" s="3" t="s">
        <v>31</v>
      </c>
      <c r="I116" s="3" t="s">
        <v>37</v>
      </c>
      <c r="J116" s="3" t="s">
        <v>38</v>
      </c>
    </row>
    <row r="117" customFormat="false" ht="15" hidden="false" customHeight="false" outlineLevel="0" collapsed="false">
      <c r="A117" s="3" t="s">
        <v>274</v>
      </c>
      <c r="B117" s="3" t="s">
        <v>275</v>
      </c>
      <c r="C117" s="10" t="n">
        <v>45989</v>
      </c>
      <c r="D117" s="11" t="n">
        <v>49</v>
      </c>
      <c r="E117" s="3" t="n">
        <v>0</v>
      </c>
      <c r="F117" s="3" t="n">
        <v>0</v>
      </c>
      <c r="G117" s="3" t="n">
        <v>896</v>
      </c>
      <c r="H117" s="3" t="s">
        <v>31</v>
      </c>
      <c r="I117" s="2" t="s">
        <v>72</v>
      </c>
      <c r="J117" s="3" t="s">
        <v>73</v>
      </c>
    </row>
    <row r="118" customFormat="false" ht="15" hidden="false" customHeight="false" outlineLevel="0" collapsed="false">
      <c r="A118" s="3" t="s">
        <v>276</v>
      </c>
      <c r="B118" s="3" t="s">
        <v>277</v>
      </c>
      <c r="C118" s="10" t="n">
        <v>45989</v>
      </c>
      <c r="D118" s="11" t="n">
        <v>39</v>
      </c>
      <c r="E118" s="3" t="n">
        <v>1</v>
      </c>
      <c r="F118" s="3" t="n">
        <v>0</v>
      </c>
      <c r="G118" s="3" t="n">
        <v>1210</v>
      </c>
      <c r="H118" s="3" t="s">
        <v>31</v>
      </c>
      <c r="I118" s="2" t="s">
        <v>32</v>
      </c>
      <c r="J118" s="3" t="s">
        <v>33</v>
      </c>
    </row>
    <row r="119" customFormat="false" ht="15" hidden="false" customHeight="false" outlineLevel="0" collapsed="false">
      <c r="A119" s="3" t="s">
        <v>278</v>
      </c>
      <c r="B119" s="3" t="s">
        <v>279</v>
      </c>
      <c r="C119" s="10" t="n">
        <v>46002</v>
      </c>
      <c r="D119" s="11" t="n">
        <v>14</v>
      </c>
      <c r="E119" s="3" t="n">
        <v>1</v>
      </c>
      <c r="F119" s="3" t="n">
        <v>0</v>
      </c>
      <c r="G119" s="3" t="n">
        <v>543</v>
      </c>
      <c r="H119" s="3" t="s">
        <v>36</v>
      </c>
      <c r="I119" s="3" t="s">
        <v>37</v>
      </c>
      <c r="J119" s="3" t="s">
        <v>38</v>
      </c>
    </row>
    <row r="120" customFormat="false" ht="15" hidden="false" customHeight="false" outlineLevel="0" collapsed="false">
      <c r="A120" s="3" t="s">
        <v>280</v>
      </c>
      <c r="B120" s="3" t="s">
        <v>281</v>
      </c>
      <c r="C120" s="10" t="n">
        <v>46002</v>
      </c>
      <c r="D120" s="11" t="n">
        <v>52</v>
      </c>
      <c r="E120" s="3" t="n">
        <v>0</v>
      </c>
      <c r="F120" s="3" t="n">
        <v>0</v>
      </c>
      <c r="G120" s="3" t="n">
        <v>445</v>
      </c>
      <c r="H120" s="3" t="s">
        <v>36</v>
      </c>
      <c r="I120" s="3" t="s">
        <v>37</v>
      </c>
      <c r="J120" s="3" t="s">
        <v>38</v>
      </c>
    </row>
    <row r="121" customFormat="false" ht="15" hidden="false" customHeight="false" outlineLevel="0" collapsed="false">
      <c r="A121" s="3" t="s">
        <v>282</v>
      </c>
      <c r="B121" s="3" t="s">
        <v>283</v>
      </c>
      <c r="C121" s="10" t="n">
        <v>46003</v>
      </c>
      <c r="D121" s="11" t="n">
        <v>96</v>
      </c>
      <c r="E121" s="3" t="n">
        <v>2</v>
      </c>
      <c r="F121" s="3" t="n">
        <v>0</v>
      </c>
      <c r="G121" s="3" t="n">
        <v>10</v>
      </c>
      <c r="H121" s="3" t="s">
        <v>31</v>
      </c>
      <c r="I121" s="2" t="s">
        <v>32</v>
      </c>
      <c r="J121" s="3" t="s">
        <v>33</v>
      </c>
    </row>
    <row r="122" customFormat="false" ht="15" hidden="false" customHeight="false" outlineLevel="0" collapsed="false">
      <c r="A122" s="3" t="s">
        <v>284</v>
      </c>
      <c r="B122" s="3" t="s">
        <v>285</v>
      </c>
      <c r="C122" s="10" t="n">
        <v>46006</v>
      </c>
      <c r="D122" s="11" t="n">
        <v>76</v>
      </c>
      <c r="E122" s="3" t="n">
        <v>0</v>
      </c>
      <c r="F122" s="3" t="n">
        <v>0</v>
      </c>
      <c r="G122" s="3" t="n">
        <v>52</v>
      </c>
      <c r="H122" s="3" t="s">
        <v>36</v>
      </c>
      <c r="I122" s="3" t="s">
        <v>37</v>
      </c>
      <c r="J122" s="3" t="s">
        <v>47</v>
      </c>
    </row>
    <row r="123" customFormat="false" ht="15" hidden="false" customHeight="false" outlineLevel="0" collapsed="false">
      <c r="A123" s="3" t="s">
        <v>286</v>
      </c>
      <c r="B123" s="3" t="s">
        <v>287</v>
      </c>
      <c r="C123" s="10" t="n">
        <v>46006</v>
      </c>
      <c r="D123" s="11" t="n">
        <v>44</v>
      </c>
      <c r="E123" s="3" t="n">
        <v>0</v>
      </c>
      <c r="F123" s="3" t="n">
        <v>0</v>
      </c>
      <c r="G123" s="3" t="n">
        <v>1636</v>
      </c>
      <c r="H123" s="3" t="s">
        <v>36</v>
      </c>
      <c r="I123" s="3" t="s">
        <v>37</v>
      </c>
      <c r="J123" s="3" t="s">
        <v>38</v>
      </c>
    </row>
    <row r="124" customFormat="false" ht="15" hidden="false" customHeight="false" outlineLevel="0" collapsed="false">
      <c r="A124" s="3" t="s">
        <v>288</v>
      </c>
      <c r="B124" s="3" t="s">
        <v>289</v>
      </c>
      <c r="C124" s="10" t="n">
        <v>46011</v>
      </c>
      <c r="D124" s="11" t="n">
        <v>72</v>
      </c>
      <c r="E124" s="3" t="n">
        <v>1</v>
      </c>
      <c r="F124" s="3" t="n">
        <v>0</v>
      </c>
      <c r="G124" s="3" t="n">
        <v>1536</v>
      </c>
      <c r="H124" s="3" t="s">
        <v>36</v>
      </c>
      <c r="I124" s="3" t="s">
        <v>37</v>
      </c>
      <c r="J124" s="3" t="s">
        <v>38</v>
      </c>
    </row>
    <row r="125" customFormat="false" ht="15" hidden="false" customHeight="false" outlineLevel="0" collapsed="false">
      <c r="A125" s="3" t="s">
        <v>290</v>
      </c>
      <c r="B125" s="3" t="s">
        <v>291</v>
      </c>
      <c r="C125" s="10" t="n">
        <v>46014</v>
      </c>
      <c r="D125" s="11" t="n">
        <v>72</v>
      </c>
      <c r="E125" s="3" t="n">
        <v>0</v>
      </c>
      <c r="F125" s="3" t="n">
        <v>0</v>
      </c>
      <c r="G125" s="3" t="n">
        <v>1871</v>
      </c>
      <c r="H125" s="3" t="s">
        <v>36</v>
      </c>
      <c r="I125" s="3" t="s">
        <v>37</v>
      </c>
      <c r="J125" s="3" t="s">
        <v>38</v>
      </c>
    </row>
    <row r="126" customFormat="false" ht="15" hidden="false" customHeight="false" outlineLevel="0" collapsed="false">
      <c r="A126" s="3" t="s">
        <v>292</v>
      </c>
      <c r="B126" s="3" t="s">
        <v>293</v>
      </c>
      <c r="C126" s="10" t="n">
        <v>46016</v>
      </c>
      <c r="D126" s="11" t="n">
        <v>134</v>
      </c>
      <c r="E126" s="3" t="n">
        <v>0</v>
      </c>
      <c r="F126" s="3" t="n">
        <v>0</v>
      </c>
      <c r="G126" s="3" t="n">
        <v>1534</v>
      </c>
      <c r="H126" s="3" t="s">
        <v>31</v>
      </c>
      <c r="I126" s="2" t="s">
        <v>72</v>
      </c>
      <c r="J126" s="3" t="s">
        <v>73</v>
      </c>
    </row>
    <row r="127" customFormat="false" ht="15" hidden="false" customHeight="false" outlineLevel="0" collapsed="false">
      <c r="A127" s="3" t="s">
        <v>294</v>
      </c>
      <c r="B127" s="3" t="s">
        <v>295</v>
      </c>
      <c r="C127" s="10" t="n">
        <v>46017</v>
      </c>
      <c r="D127" s="11" t="n">
        <v>129</v>
      </c>
      <c r="E127" s="3" t="n">
        <v>0</v>
      </c>
      <c r="F127" s="3" t="n">
        <v>0</v>
      </c>
      <c r="G127" s="3" t="n">
        <v>412</v>
      </c>
      <c r="H127" s="3" t="s">
        <v>31</v>
      </c>
      <c r="I127" s="3" t="s">
        <v>41</v>
      </c>
      <c r="J127" s="3" t="s">
        <v>157</v>
      </c>
    </row>
    <row r="128" customFormat="false" ht="15" hidden="false" customHeight="false" outlineLevel="0" collapsed="false">
      <c r="A128" s="3" t="s">
        <v>296</v>
      </c>
      <c r="B128" s="3" t="s">
        <v>297</v>
      </c>
      <c r="C128" s="10" t="n">
        <v>46019</v>
      </c>
      <c r="D128" s="11" t="n">
        <v>76</v>
      </c>
      <c r="E128" s="3" t="n">
        <v>0</v>
      </c>
      <c r="F128" s="3" t="n">
        <v>0</v>
      </c>
      <c r="G128" s="3" t="n">
        <v>683</v>
      </c>
      <c r="H128" s="3" t="s">
        <v>36</v>
      </c>
      <c r="I128" s="3" t="s">
        <v>37</v>
      </c>
      <c r="J128" s="3" t="s">
        <v>38</v>
      </c>
    </row>
    <row r="129" customFormat="false" ht="15" hidden="false" customHeight="false" outlineLevel="0" collapsed="false">
      <c r="A129" s="3" t="s">
        <v>298</v>
      </c>
      <c r="B129" s="3" t="s">
        <v>299</v>
      </c>
      <c r="C129" s="10" t="n">
        <v>46027</v>
      </c>
      <c r="D129" s="11" t="n">
        <v>134</v>
      </c>
      <c r="E129" s="3" t="n">
        <v>0</v>
      </c>
      <c r="F129" s="3" t="n">
        <v>0</v>
      </c>
      <c r="G129" s="3" t="n">
        <v>2168</v>
      </c>
      <c r="H129" s="3" t="s">
        <v>36</v>
      </c>
      <c r="I129" s="3" t="s">
        <v>37</v>
      </c>
      <c r="J129" s="3" t="s">
        <v>38</v>
      </c>
    </row>
    <row r="130" customFormat="false" ht="15" hidden="false" customHeight="false" outlineLevel="0" collapsed="false">
      <c r="A130" s="3" t="s">
        <v>300</v>
      </c>
      <c r="B130" s="3" t="s">
        <v>301</v>
      </c>
      <c r="C130" s="10" t="n">
        <v>46027</v>
      </c>
      <c r="D130" s="11" t="n">
        <v>96</v>
      </c>
      <c r="E130" s="3" t="n">
        <v>3</v>
      </c>
      <c r="F130" s="3" t="n">
        <v>0</v>
      </c>
      <c r="G130" s="3" t="n">
        <v>814</v>
      </c>
      <c r="H130" s="3" t="s">
        <v>31</v>
      </c>
      <c r="I130" s="2" t="s">
        <v>32</v>
      </c>
      <c r="J130" s="3" t="s">
        <v>33</v>
      </c>
    </row>
    <row r="131" customFormat="false" ht="15" hidden="false" customHeight="false" outlineLevel="0" collapsed="false">
      <c r="A131" s="3" t="s">
        <v>302</v>
      </c>
      <c r="B131" s="3" t="s">
        <v>303</v>
      </c>
      <c r="C131" s="10" t="n">
        <v>46031</v>
      </c>
      <c r="D131" s="11" t="n">
        <v>110</v>
      </c>
      <c r="E131" s="3" t="n">
        <v>0</v>
      </c>
      <c r="F131" s="3" t="n">
        <v>0</v>
      </c>
      <c r="G131" s="3" t="n">
        <v>493</v>
      </c>
      <c r="H131" s="3" t="s">
        <v>36</v>
      </c>
      <c r="I131" s="2" t="s">
        <v>76</v>
      </c>
      <c r="J131" s="3" t="s">
        <v>77</v>
      </c>
    </row>
    <row r="132" customFormat="false" ht="15" hidden="false" customHeight="false" outlineLevel="0" collapsed="false">
      <c r="A132" s="3" t="s">
        <v>304</v>
      </c>
      <c r="B132" s="3" t="s">
        <v>305</v>
      </c>
      <c r="C132" s="10" t="n">
        <v>46037</v>
      </c>
      <c r="D132" s="11" t="n">
        <v>42</v>
      </c>
      <c r="E132" s="3" t="n">
        <v>0</v>
      </c>
      <c r="F132" s="3" t="n">
        <v>0</v>
      </c>
      <c r="G132" s="3" t="n">
        <v>1428</v>
      </c>
      <c r="H132" s="3" t="s">
        <v>36</v>
      </c>
      <c r="I132" s="3" t="s">
        <v>37</v>
      </c>
      <c r="J132" s="3" t="s">
        <v>38</v>
      </c>
    </row>
    <row r="133" customFormat="false" ht="15" hidden="false" customHeight="false" outlineLevel="0" collapsed="false">
      <c r="A133" s="3" t="s">
        <v>306</v>
      </c>
      <c r="B133" s="3" t="s">
        <v>307</v>
      </c>
      <c r="C133" s="10" t="n">
        <v>46037</v>
      </c>
      <c r="D133" s="11" t="n">
        <v>34</v>
      </c>
      <c r="E133" s="3" t="n">
        <v>0</v>
      </c>
      <c r="F133" s="3" t="n">
        <v>0</v>
      </c>
      <c r="G133" s="3" t="n">
        <v>1418</v>
      </c>
      <c r="H133" s="3" t="s">
        <v>36</v>
      </c>
      <c r="I133" s="3" t="s">
        <v>37</v>
      </c>
      <c r="J133" s="3" t="s">
        <v>38</v>
      </c>
    </row>
    <row r="134" customFormat="false" ht="15" hidden="false" customHeight="false" outlineLevel="0" collapsed="false">
      <c r="A134" s="3" t="s">
        <v>308</v>
      </c>
      <c r="B134" s="3" t="s">
        <v>309</v>
      </c>
      <c r="C134" s="10" t="n">
        <v>46044</v>
      </c>
      <c r="D134" s="11" t="n">
        <v>165</v>
      </c>
      <c r="E134" s="3" t="n">
        <v>0</v>
      </c>
      <c r="F134" s="3" t="n">
        <v>0</v>
      </c>
      <c r="G134" s="3" t="n">
        <v>617</v>
      </c>
      <c r="H134" s="3" t="s">
        <v>36</v>
      </c>
      <c r="I134" s="2" t="s">
        <v>76</v>
      </c>
      <c r="J134" s="3" t="s">
        <v>77</v>
      </c>
    </row>
    <row r="135" customFormat="false" ht="15" hidden="false" customHeight="false" outlineLevel="0" collapsed="false">
      <c r="A135" s="3" t="s">
        <v>310</v>
      </c>
      <c r="B135" s="3" t="s">
        <v>311</v>
      </c>
      <c r="C135" s="10" t="n">
        <v>46049</v>
      </c>
      <c r="D135" s="11" t="n">
        <v>88</v>
      </c>
      <c r="E135" s="3" t="n">
        <v>0</v>
      </c>
      <c r="F135" s="3" t="n">
        <v>0</v>
      </c>
      <c r="G135" s="3" t="n">
        <v>546</v>
      </c>
      <c r="H135" s="3" t="s">
        <v>36</v>
      </c>
      <c r="I135" s="3" t="s">
        <v>37</v>
      </c>
      <c r="J135" s="3" t="s">
        <v>38</v>
      </c>
    </row>
    <row r="136" customFormat="false" ht="15" hidden="false" customHeight="false" outlineLevel="0" collapsed="false">
      <c r="A136" s="3" t="s">
        <v>312</v>
      </c>
      <c r="B136" s="3" t="s">
        <v>313</v>
      </c>
      <c r="C136" s="10" t="n">
        <v>46050</v>
      </c>
      <c r="D136" s="11" t="n">
        <v>39</v>
      </c>
      <c r="E136" s="3" t="n">
        <v>0</v>
      </c>
      <c r="F136" s="3" t="n">
        <v>0</v>
      </c>
      <c r="G136" s="3" t="n">
        <v>1112</v>
      </c>
      <c r="H136" s="3" t="s">
        <v>36</v>
      </c>
      <c r="I136" s="3" t="s">
        <v>37</v>
      </c>
      <c r="J136" s="3" t="s">
        <v>38</v>
      </c>
    </row>
    <row r="137" customFormat="false" ht="15" hidden="false" customHeight="false" outlineLevel="0" collapsed="false">
      <c r="A137" s="3" t="s">
        <v>314</v>
      </c>
      <c r="B137" s="3" t="s">
        <v>315</v>
      </c>
      <c r="C137" s="10" t="n">
        <v>46054</v>
      </c>
      <c r="D137" s="11" t="n">
        <v>52</v>
      </c>
      <c r="E137" s="3" t="n">
        <v>2</v>
      </c>
      <c r="F137" s="3" t="n">
        <v>0</v>
      </c>
      <c r="G137" s="3" t="n">
        <v>548</v>
      </c>
      <c r="H137" s="3" t="s">
        <v>31</v>
      </c>
      <c r="I137" s="3" t="s">
        <v>37</v>
      </c>
      <c r="J137" s="3" t="s">
        <v>47</v>
      </c>
    </row>
    <row r="138" customFormat="false" ht="15" hidden="false" customHeight="false" outlineLevel="0" collapsed="false">
      <c r="A138" s="3" t="s">
        <v>316</v>
      </c>
      <c r="B138" s="3" t="s">
        <v>317</v>
      </c>
      <c r="C138" s="10" t="n">
        <v>46054</v>
      </c>
      <c r="D138" s="11" t="n">
        <v>44</v>
      </c>
      <c r="E138" s="3" t="n">
        <v>1</v>
      </c>
      <c r="F138" s="3" t="n">
        <v>0</v>
      </c>
      <c r="G138" s="3" t="n">
        <v>1091</v>
      </c>
      <c r="H138" s="3" t="s">
        <v>36</v>
      </c>
      <c r="I138" s="3" t="s">
        <v>37</v>
      </c>
      <c r="J138" s="3" t="s">
        <v>38</v>
      </c>
    </row>
    <row r="139" customFormat="false" ht="15" hidden="false" customHeight="false" outlineLevel="0" collapsed="false">
      <c r="A139" s="3" t="s">
        <v>318</v>
      </c>
      <c r="B139" s="3" t="s">
        <v>319</v>
      </c>
      <c r="C139" s="10" t="n">
        <v>46056</v>
      </c>
      <c r="D139" s="11" t="n">
        <v>61</v>
      </c>
      <c r="E139" s="3" t="n">
        <v>0</v>
      </c>
      <c r="F139" s="3" t="n">
        <v>0</v>
      </c>
      <c r="G139" s="3" t="n">
        <v>844</v>
      </c>
      <c r="H139" s="3" t="s">
        <v>36</v>
      </c>
      <c r="I139" s="3" t="s">
        <v>37</v>
      </c>
      <c r="J139" s="3" t="s">
        <v>38</v>
      </c>
    </row>
    <row r="140" customFormat="false" ht="15" hidden="false" customHeight="false" outlineLevel="0" collapsed="false">
      <c r="A140" s="3" t="s">
        <v>320</v>
      </c>
      <c r="B140" s="3" t="s">
        <v>321</v>
      </c>
      <c r="C140" s="10" t="n">
        <v>46056</v>
      </c>
      <c r="D140" s="11" t="n">
        <v>134</v>
      </c>
      <c r="E140" s="3" t="n">
        <v>0</v>
      </c>
      <c r="F140" s="3" t="n">
        <v>0</v>
      </c>
      <c r="G140" s="3" t="n">
        <v>333</v>
      </c>
      <c r="H140" s="3" t="s">
        <v>31</v>
      </c>
      <c r="I140" s="2" t="s">
        <v>72</v>
      </c>
      <c r="J140" s="3" t="s">
        <v>73</v>
      </c>
    </row>
    <row r="141" customFormat="false" ht="15" hidden="false" customHeight="false" outlineLevel="0" collapsed="false">
      <c r="A141" s="3" t="s">
        <v>322</v>
      </c>
      <c r="B141" s="3" t="s">
        <v>323</v>
      </c>
      <c r="C141" s="10" t="n">
        <v>46057</v>
      </c>
      <c r="D141" s="11" t="n">
        <v>39</v>
      </c>
      <c r="E141" s="3" t="n">
        <v>1</v>
      </c>
      <c r="F141" s="3" t="n">
        <v>0</v>
      </c>
      <c r="G141" s="3" t="n">
        <v>1437</v>
      </c>
      <c r="H141" s="3" t="s">
        <v>31</v>
      </c>
      <c r="I141" s="2" t="s">
        <v>72</v>
      </c>
      <c r="J141" s="3" t="s">
        <v>73</v>
      </c>
    </row>
    <row r="142" customFormat="false" ht="15" hidden="false" customHeight="false" outlineLevel="0" collapsed="false">
      <c r="A142" s="3" t="s">
        <v>324</v>
      </c>
      <c r="B142" s="3" t="s">
        <v>325</v>
      </c>
      <c r="C142" s="10" t="n">
        <v>46063</v>
      </c>
      <c r="D142" s="11" t="n">
        <v>129</v>
      </c>
      <c r="E142" s="3" t="n">
        <v>5</v>
      </c>
      <c r="F142" s="3" t="n">
        <v>0</v>
      </c>
      <c r="G142" s="3" t="n">
        <v>1526</v>
      </c>
      <c r="H142" s="3" t="s">
        <v>31</v>
      </c>
      <c r="I142" s="2" t="s">
        <v>32</v>
      </c>
      <c r="J142" s="3" t="s">
        <v>116</v>
      </c>
    </row>
    <row r="143" customFormat="false" ht="15" hidden="false" customHeight="false" outlineLevel="0" collapsed="false">
      <c r="A143" s="3" t="s">
        <v>326</v>
      </c>
      <c r="B143" s="3" t="s">
        <v>327</v>
      </c>
      <c r="C143" s="10" t="n">
        <v>46065</v>
      </c>
      <c r="D143" s="11" t="n">
        <v>95</v>
      </c>
      <c r="E143" s="3" t="n">
        <v>0</v>
      </c>
      <c r="F143" s="3" t="n">
        <v>0</v>
      </c>
      <c r="G143" s="3" t="n">
        <v>1037</v>
      </c>
      <c r="H143" s="3" t="s">
        <v>36</v>
      </c>
      <c r="I143" s="3" t="s">
        <v>37</v>
      </c>
      <c r="J143" s="3" t="s">
        <v>38</v>
      </c>
    </row>
    <row r="144" customFormat="false" ht="15" hidden="false" customHeight="false" outlineLevel="0" collapsed="false">
      <c r="A144" s="3" t="s">
        <v>328</v>
      </c>
      <c r="B144" s="3" t="s">
        <v>329</v>
      </c>
      <c r="C144" s="10" t="n">
        <v>46072</v>
      </c>
      <c r="D144" s="11" t="n">
        <v>39</v>
      </c>
      <c r="E144" s="3" t="n">
        <v>0</v>
      </c>
      <c r="F144" s="3" t="n">
        <v>0</v>
      </c>
      <c r="G144" s="3" t="n">
        <v>1501</v>
      </c>
      <c r="H144" s="3" t="s">
        <v>36</v>
      </c>
      <c r="I144" s="3" t="s">
        <v>37</v>
      </c>
      <c r="J144" s="3" t="s">
        <v>38</v>
      </c>
    </row>
    <row r="145" customFormat="false" ht="15" hidden="false" customHeight="false" outlineLevel="0" collapsed="false">
      <c r="A145" s="3" t="s">
        <v>330</v>
      </c>
      <c r="B145" s="3" t="s">
        <v>331</v>
      </c>
      <c r="C145" s="10" t="n">
        <v>46073</v>
      </c>
      <c r="D145" s="11" t="n">
        <v>58</v>
      </c>
      <c r="E145" s="3" t="n">
        <v>1</v>
      </c>
      <c r="F145" s="3" t="n">
        <v>0</v>
      </c>
      <c r="G145" s="3" t="n">
        <v>1322</v>
      </c>
      <c r="H145" s="3" t="s">
        <v>31</v>
      </c>
      <c r="I145" s="3" t="s">
        <v>37</v>
      </c>
      <c r="J145" s="3" t="s">
        <v>38</v>
      </c>
    </row>
    <row r="146" customFormat="false" ht="15" hidden="false" customHeight="false" outlineLevel="0" collapsed="false">
      <c r="A146" s="3" t="s">
        <v>332</v>
      </c>
      <c r="B146" s="3" t="s">
        <v>333</v>
      </c>
      <c r="C146" s="10" t="n">
        <v>46073</v>
      </c>
      <c r="D146" s="11" t="n">
        <v>58</v>
      </c>
      <c r="E146" s="3" t="n">
        <v>0</v>
      </c>
      <c r="F146" s="3" t="n">
        <v>0</v>
      </c>
      <c r="G146" s="3" t="n">
        <v>909</v>
      </c>
      <c r="H146" s="3" t="s">
        <v>36</v>
      </c>
      <c r="I146" s="3" t="s">
        <v>37</v>
      </c>
      <c r="J146" s="3" t="s">
        <v>38</v>
      </c>
    </row>
    <row r="147" customFormat="false" ht="15" hidden="false" customHeight="false" outlineLevel="0" collapsed="false">
      <c r="A147" s="3" t="s">
        <v>334</v>
      </c>
      <c r="B147" s="3" t="s">
        <v>335</v>
      </c>
      <c r="C147" s="10" t="n">
        <v>46081</v>
      </c>
      <c r="D147" s="11" t="n">
        <v>189</v>
      </c>
      <c r="E147" s="3" t="n">
        <v>0</v>
      </c>
      <c r="F147" s="3" t="n">
        <v>0</v>
      </c>
      <c r="G147" s="3" t="n">
        <v>760</v>
      </c>
      <c r="H147" s="3" t="s">
        <v>36</v>
      </c>
      <c r="I147" s="2" t="s">
        <v>76</v>
      </c>
      <c r="J147" s="3" t="s">
        <v>77</v>
      </c>
    </row>
    <row r="148" customFormat="false" ht="15" hidden="false" customHeight="false" outlineLevel="0" collapsed="false">
      <c r="A148" s="3" t="s">
        <v>336</v>
      </c>
      <c r="B148" s="3" t="s">
        <v>337</v>
      </c>
      <c r="C148" s="10" t="n">
        <v>46081</v>
      </c>
      <c r="D148" s="11" t="n">
        <v>39</v>
      </c>
      <c r="E148" s="3" t="n">
        <v>3</v>
      </c>
      <c r="F148" s="3" t="n">
        <v>0</v>
      </c>
      <c r="G148" s="3" t="n">
        <v>298</v>
      </c>
      <c r="H148" s="3" t="s">
        <v>31</v>
      </c>
      <c r="I148" s="2" t="s">
        <v>32</v>
      </c>
      <c r="J148" s="3" t="s">
        <v>33</v>
      </c>
    </row>
    <row r="149" customFormat="false" ht="15" hidden="false" customHeight="false" outlineLevel="0" collapsed="false">
      <c r="A149" s="3" t="s">
        <v>338</v>
      </c>
      <c r="B149" s="3" t="s">
        <v>339</v>
      </c>
      <c r="C149" s="10" t="n">
        <v>46082</v>
      </c>
      <c r="D149" s="11" t="n">
        <v>129</v>
      </c>
      <c r="E149" s="3" t="n">
        <v>4</v>
      </c>
      <c r="F149" s="3" t="n">
        <v>0</v>
      </c>
      <c r="G149" s="3" t="n">
        <v>21</v>
      </c>
      <c r="H149" s="3" t="s">
        <v>31</v>
      </c>
      <c r="I149" s="2" t="s">
        <v>32</v>
      </c>
      <c r="J149" s="3" t="s">
        <v>33</v>
      </c>
    </row>
    <row r="150" customFormat="false" ht="15" hidden="false" customHeight="false" outlineLevel="0" collapsed="false">
      <c r="A150" s="3" t="s">
        <v>340</v>
      </c>
      <c r="B150" s="3" t="s">
        <v>341</v>
      </c>
      <c r="C150" s="10" t="n">
        <v>46091</v>
      </c>
      <c r="D150" s="11" t="n">
        <v>39</v>
      </c>
      <c r="E150" s="3" t="n">
        <v>3</v>
      </c>
      <c r="F150" s="3" t="n">
        <v>0</v>
      </c>
      <c r="G150" s="3" t="n">
        <v>590</v>
      </c>
      <c r="H150" s="3" t="s">
        <v>31</v>
      </c>
      <c r="I150" s="2" t="s">
        <v>32</v>
      </c>
      <c r="J150" s="3" t="s">
        <v>33</v>
      </c>
    </row>
    <row r="151" customFormat="false" ht="15" hidden="false" customHeight="false" outlineLevel="0" collapsed="false">
      <c r="A151" s="3" t="s">
        <v>342</v>
      </c>
      <c r="B151" s="3" t="s">
        <v>343</v>
      </c>
      <c r="C151" s="10" t="n">
        <v>46091</v>
      </c>
      <c r="D151" s="11" t="n">
        <v>22</v>
      </c>
      <c r="E151" s="3" t="n">
        <v>1</v>
      </c>
      <c r="F151" s="3" t="n">
        <v>0</v>
      </c>
      <c r="G151" s="3" t="n">
        <v>871</v>
      </c>
      <c r="H151" s="3" t="s">
        <v>36</v>
      </c>
      <c r="I151" s="3" t="s">
        <v>37</v>
      </c>
      <c r="J151" s="3" t="s">
        <v>38</v>
      </c>
    </row>
    <row r="152" customFormat="false" ht="15" hidden="false" customHeight="false" outlineLevel="0" collapsed="false">
      <c r="A152" s="3" t="s">
        <v>344</v>
      </c>
      <c r="B152" s="3" t="s">
        <v>345</v>
      </c>
      <c r="C152" s="10" t="n">
        <v>46093</v>
      </c>
      <c r="D152" s="11" t="n">
        <v>134</v>
      </c>
      <c r="E152" s="3" t="n">
        <v>0</v>
      </c>
      <c r="F152" s="3" t="n">
        <v>0</v>
      </c>
      <c r="G152" s="3" t="n">
        <v>1702</v>
      </c>
      <c r="H152" s="3" t="s">
        <v>36</v>
      </c>
      <c r="I152" s="3" t="s">
        <v>37</v>
      </c>
      <c r="J152" s="3" t="s">
        <v>38</v>
      </c>
    </row>
    <row r="153" customFormat="false" ht="15" hidden="false" customHeight="false" outlineLevel="0" collapsed="false">
      <c r="A153" s="3" t="s">
        <v>346</v>
      </c>
      <c r="B153" s="3" t="s">
        <v>347</v>
      </c>
      <c r="C153" s="10" t="n">
        <v>46098</v>
      </c>
      <c r="D153" s="11" t="n">
        <v>52</v>
      </c>
      <c r="E153" s="3" t="n">
        <v>0</v>
      </c>
      <c r="F153" s="3" t="n">
        <v>0</v>
      </c>
      <c r="G153" s="3" t="n">
        <v>1774</v>
      </c>
      <c r="H153" s="3" t="s">
        <v>36</v>
      </c>
      <c r="I153" s="3" t="s">
        <v>37</v>
      </c>
      <c r="J153" s="3" t="s">
        <v>38</v>
      </c>
    </row>
    <row r="154" customFormat="false" ht="15" hidden="false" customHeight="false" outlineLevel="0" collapsed="false">
      <c r="A154" s="3" t="s">
        <v>348</v>
      </c>
      <c r="B154" s="3" t="s">
        <v>349</v>
      </c>
      <c r="C154" s="10" t="n">
        <v>46104</v>
      </c>
      <c r="D154" s="11" t="n">
        <v>52</v>
      </c>
      <c r="E154" s="3" t="n">
        <v>0</v>
      </c>
      <c r="F154" s="3" t="n">
        <v>2</v>
      </c>
      <c r="G154" s="3" t="n">
        <v>517</v>
      </c>
      <c r="H154" s="3" t="s">
        <v>31</v>
      </c>
      <c r="I154" s="3" t="s">
        <v>37</v>
      </c>
      <c r="J154" s="3" t="s">
        <v>47</v>
      </c>
    </row>
    <row r="155" customFormat="false" ht="15" hidden="false" customHeight="false" outlineLevel="0" collapsed="false">
      <c r="A155" s="3" t="s">
        <v>350</v>
      </c>
      <c r="B155" s="3" t="s">
        <v>351</v>
      </c>
      <c r="C155" s="10" t="n">
        <v>46105</v>
      </c>
      <c r="D155" s="11" t="n">
        <v>14</v>
      </c>
      <c r="E155" s="3" t="n">
        <v>0</v>
      </c>
      <c r="F155" s="3" t="n">
        <v>0</v>
      </c>
      <c r="G155" s="3" t="n">
        <v>821</v>
      </c>
      <c r="H155" s="3" t="s">
        <v>36</v>
      </c>
      <c r="I155" s="3" t="s">
        <v>37</v>
      </c>
      <c r="J155" s="3" t="s">
        <v>47</v>
      </c>
    </row>
    <row r="156" customFormat="false" ht="15" hidden="false" customHeight="false" outlineLevel="0" collapsed="false">
      <c r="A156" s="3" t="s">
        <v>352</v>
      </c>
      <c r="B156" s="3" t="s">
        <v>353</v>
      </c>
      <c r="C156" s="10" t="n">
        <v>46107</v>
      </c>
      <c r="D156" s="11" t="n">
        <v>110</v>
      </c>
      <c r="E156" s="3" t="n">
        <v>0</v>
      </c>
      <c r="F156" s="3" t="n">
        <v>0</v>
      </c>
      <c r="G156" s="3" t="n">
        <v>847</v>
      </c>
      <c r="H156" s="3" t="s">
        <v>36</v>
      </c>
      <c r="I156" s="2" t="s">
        <v>76</v>
      </c>
      <c r="J156" s="3" t="s">
        <v>77</v>
      </c>
    </row>
    <row r="157" customFormat="false" ht="15" hidden="false" customHeight="false" outlineLevel="0" collapsed="false">
      <c r="A157" s="3" t="s">
        <v>354</v>
      </c>
      <c r="B157" s="3" t="s">
        <v>355</v>
      </c>
      <c r="C157" s="10" t="n">
        <v>46112</v>
      </c>
      <c r="D157" s="11" t="n">
        <v>44</v>
      </c>
      <c r="E157" s="3" t="n">
        <v>0</v>
      </c>
      <c r="F157" s="3" t="n">
        <v>0</v>
      </c>
      <c r="G157" s="3" t="n">
        <v>1272</v>
      </c>
      <c r="H157" s="3" t="s">
        <v>31</v>
      </c>
      <c r="I157" s="3" t="s">
        <v>41</v>
      </c>
      <c r="J157" s="3" t="s">
        <v>42</v>
      </c>
    </row>
    <row r="158" customFormat="false" ht="15" hidden="false" customHeight="false" outlineLevel="0" collapsed="false">
      <c r="A158" s="3" t="s">
        <v>356</v>
      </c>
      <c r="B158" s="3" t="s">
        <v>357</v>
      </c>
      <c r="C158" s="10" t="n">
        <v>46113</v>
      </c>
      <c r="D158" s="11" t="n">
        <v>129</v>
      </c>
      <c r="E158" s="3" t="n">
        <v>1</v>
      </c>
      <c r="F158" s="3" t="n">
        <v>0</v>
      </c>
      <c r="G158" s="3" t="n">
        <v>916</v>
      </c>
      <c r="H158" s="3" t="s">
        <v>36</v>
      </c>
      <c r="I158" s="3" t="s">
        <v>37</v>
      </c>
      <c r="J158" s="3" t="s">
        <v>38</v>
      </c>
    </row>
    <row r="159" customFormat="false" ht="15" hidden="false" customHeight="false" outlineLevel="0" collapsed="false">
      <c r="A159" s="3" t="s">
        <v>358</v>
      </c>
      <c r="B159" s="3" t="s">
        <v>359</v>
      </c>
      <c r="C159" s="10" t="n">
        <v>46115</v>
      </c>
      <c r="D159" s="11" t="n">
        <v>165</v>
      </c>
      <c r="E159" s="3" t="n">
        <v>0</v>
      </c>
      <c r="F159" s="3" t="n">
        <v>0</v>
      </c>
      <c r="G159" s="3" t="n">
        <v>468</v>
      </c>
      <c r="H159" s="3" t="s">
        <v>36</v>
      </c>
      <c r="I159" s="2" t="s">
        <v>76</v>
      </c>
      <c r="J159" s="3" t="s">
        <v>77</v>
      </c>
    </row>
    <row r="160" customFormat="false" ht="15" hidden="false" customHeight="false" outlineLevel="0" collapsed="false">
      <c r="A160" s="3" t="s">
        <v>360</v>
      </c>
      <c r="B160" s="3" t="s">
        <v>361</v>
      </c>
      <c r="C160" s="10" t="n">
        <v>46116</v>
      </c>
      <c r="D160" s="11" t="n">
        <v>52</v>
      </c>
      <c r="E160" s="3" t="n">
        <v>0</v>
      </c>
      <c r="F160" s="3" t="n">
        <v>0</v>
      </c>
      <c r="G160" s="3" t="n">
        <v>16</v>
      </c>
      <c r="H160" s="3" t="s">
        <v>36</v>
      </c>
      <c r="I160" s="3" t="s">
        <v>37</v>
      </c>
      <c r="J160" s="3" t="s">
        <v>38</v>
      </c>
    </row>
    <row r="161" customFormat="false" ht="15" hidden="false" customHeight="false" outlineLevel="0" collapsed="false">
      <c r="A161" s="3" t="s">
        <v>362</v>
      </c>
      <c r="B161" s="3" t="s">
        <v>363</v>
      </c>
      <c r="C161" s="10" t="n">
        <v>46120</v>
      </c>
      <c r="D161" s="11" t="n">
        <v>22</v>
      </c>
      <c r="E161" s="3" t="n">
        <v>0</v>
      </c>
      <c r="F161" s="3" t="n">
        <v>0</v>
      </c>
      <c r="G161" s="3" t="n">
        <v>1926</v>
      </c>
      <c r="H161" s="3" t="s">
        <v>36</v>
      </c>
      <c r="I161" s="3" t="s">
        <v>37</v>
      </c>
      <c r="J161" s="3" t="s">
        <v>38</v>
      </c>
    </row>
    <row r="162" customFormat="false" ht="15" hidden="false" customHeight="false" outlineLevel="0" collapsed="false">
      <c r="A162" s="3" t="s">
        <v>364</v>
      </c>
      <c r="B162" s="3" t="s">
        <v>365</v>
      </c>
      <c r="C162" s="10" t="n">
        <v>46133</v>
      </c>
      <c r="D162" s="11" t="n">
        <v>72</v>
      </c>
      <c r="E162" s="3" t="n">
        <v>1</v>
      </c>
      <c r="F162" s="3" t="n">
        <v>0</v>
      </c>
      <c r="G162" s="3" t="n">
        <v>464</v>
      </c>
      <c r="H162" s="3" t="s">
        <v>31</v>
      </c>
      <c r="I162" s="2" t="s">
        <v>72</v>
      </c>
      <c r="J162" s="3" t="s">
        <v>73</v>
      </c>
    </row>
    <row r="163" customFormat="false" ht="15" hidden="false" customHeight="false" outlineLevel="0" collapsed="false">
      <c r="A163" s="3" t="s">
        <v>366</v>
      </c>
      <c r="B163" s="3" t="s">
        <v>367</v>
      </c>
      <c r="C163" s="10" t="n">
        <v>46134</v>
      </c>
      <c r="D163" s="11" t="n">
        <v>72</v>
      </c>
      <c r="E163" s="3" t="n">
        <v>1</v>
      </c>
      <c r="F163" s="3" t="n">
        <v>0</v>
      </c>
      <c r="G163" s="3" t="n">
        <v>795</v>
      </c>
      <c r="H163" s="3" t="s">
        <v>36</v>
      </c>
      <c r="I163" s="3" t="s">
        <v>37</v>
      </c>
      <c r="J163" s="3" t="s">
        <v>38</v>
      </c>
    </row>
    <row r="164" customFormat="false" ht="15" hidden="false" customHeight="false" outlineLevel="0" collapsed="false">
      <c r="A164" s="3" t="s">
        <v>368</v>
      </c>
      <c r="B164" s="3" t="s">
        <v>369</v>
      </c>
      <c r="C164" s="10" t="n">
        <v>46134</v>
      </c>
      <c r="D164" s="11" t="n">
        <v>148</v>
      </c>
      <c r="E164" s="3" t="n">
        <v>0</v>
      </c>
      <c r="F164" s="3" t="n">
        <v>0</v>
      </c>
      <c r="G164" s="3" t="n">
        <v>303</v>
      </c>
      <c r="H164" s="3" t="s">
        <v>36</v>
      </c>
      <c r="I164" s="2" t="s">
        <v>76</v>
      </c>
      <c r="J164" s="3" t="s">
        <v>77</v>
      </c>
    </row>
    <row r="165" customFormat="false" ht="15" hidden="false" customHeight="false" outlineLevel="0" collapsed="false">
      <c r="A165" s="3" t="s">
        <v>370</v>
      </c>
      <c r="B165" s="3" t="s">
        <v>371</v>
      </c>
      <c r="C165" s="10" t="n">
        <v>46135</v>
      </c>
      <c r="D165" s="11" t="n">
        <v>95</v>
      </c>
      <c r="E165" s="3" t="n">
        <v>1</v>
      </c>
      <c r="F165" s="3" t="n">
        <v>0</v>
      </c>
      <c r="G165" s="3" t="n">
        <v>26</v>
      </c>
      <c r="H165" s="3" t="s">
        <v>31</v>
      </c>
      <c r="I165" s="2" t="s">
        <v>32</v>
      </c>
      <c r="J165" s="3" t="s">
        <v>33</v>
      </c>
    </row>
    <row r="166" customFormat="false" ht="15" hidden="false" customHeight="false" outlineLevel="0" collapsed="false">
      <c r="A166" s="3" t="s">
        <v>372</v>
      </c>
      <c r="B166" s="3" t="s">
        <v>373</v>
      </c>
      <c r="C166" s="10" t="n">
        <v>46137</v>
      </c>
      <c r="D166" s="11" t="n">
        <v>79</v>
      </c>
      <c r="E166" s="3" t="n">
        <v>0</v>
      </c>
      <c r="F166" s="3" t="n">
        <v>0</v>
      </c>
      <c r="G166" s="3" t="n">
        <v>1987</v>
      </c>
      <c r="H166" s="3" t="s">
        <v>36</v>
      </c>
      <c r="I166" s="3" t="s">
        <v>37</v>
      </c>
      <c r="J166" s="3" t="s">
        <v>47</v>
      </c>
    </row>
    <row r="167" customFormat="false" ht="15" hidden="false" customHeight="false" outlineLevel="0" collapsed="false">
      <c r="A167" s="3" t="s">
        <v>374</v>
      </c>
      <c r="B167" s="3" t="s">
        <v>375</v>
      </c>
      <c r="C167" s="10" t="n">
        <v>46143</v>
      </c>
      <c r="D167" s="11" t="n">
        <v>129</v>
      </c>
      <c r="E167" s="3" t="n">
        <v>0</v>
      </c>
      <c r="F167" s="3" t="n">
        <v>0</v>
      </c>
      <c r="G167" s="3" t="n">
        <v>2142</v>
      </c>
      <c r="H167" s="3" t="s">
        <v>36</v>
      </c>
      <c r="I167" s="3" t="s">
        <v>37</v>
      </c>
      <c r="J167" s="3" t="s">
        <v>47</v>
      </c>
    </row>
    <row r="168" customFormat="false" ht="15" hidden="false" customHeight="false" outlineLevel="0" collapsed="false">
      <c r="A168" s="3" t="s">
        <v>376</v>
      </c>
      <c r="B168" s="3" t="s">
        <v>377</v>
      </c>
      <c r="C168" s="10" t="n">
        <v>46158</v>
      </c>
      <c r="D168" s="11" t="n">
        <v>34</v>
      </c>
      <c r="E168" s="3" t="n">
        <v>0</v>
      </c>
      <c r="F168" s="3" t="n">
        <v>0</v>
      </c>
      <c r="G168" s="3" t="n">
        <v>1062</v>
      </c>
      <c r="H168" s="3" t="s">
        <v>36</v>
      </c>
      <c r="I168" s="3" t="s">
        <v>37</v>
      </c>
      <c r="J168" s="3" t="s">
        <v>38</v>
      </c>
    </row>
    <row r="169" customFormat="false" ht="15" hidden="false" customHeight="false" outlineLevel="0" collapsed="false">
      <c r="A169" s="3" t="s">
        <v>378</v>
      </c>
      <c r="B169" s="3" t="s">
        <v>379</v>
      </c>
      <c r="C169" s="10" t="n">
        <v>46160</v>
      </c>
      <c r="D169" s="11" t="n">
        <v>79</v>
      </c>
      <c r="E169" s="3" t="n">
        <v>0</v>
      </c>
      <c r="F169" s="3" t="n">
        <v>0</v>
      </c>
      <c r="G169" s="3" t="n">
        <v>2159</v>
      </c>
      <c r="H169" s="3" t="s">
        <v>36</v>
      </c>
      <c r="I169" s="3" t="s">
        <v>37</v>
      </c>
      <c r="J169" s="3" t="s">
        <v>38</v>
      </c>
    </row>
    <row r="170" customFormat="false" ht="15" hidden="false" customHeight="false" outlineLevel="0" collapsed="false">
      <c r="A170" s="3" t="s">
        <v>380</v>
      </c>
      <c r="B170" s="3" t="s">
        <v>381</v>
      </c>
      <c r="C170" s="10" t="n">
        <v>46161</v>
      </c>
      <c r="D170" s="11" t="n">
        <v>129</v>
      </c>
      <c r="E170" s="3" t="n">
        <v>0</v>
      </c>
      <c r="F170" s="3" t="n">
        <v>0</v>
      </c>
      <c r="G170" s="3" t="n">
        <v>2124</v>
      </c>
      <c r="H170" s="3" t="s">
        <v>36</v>
      </c>
      <c r="I170" s="3" t="s">
        <v>37</v>
      </c>
      <c r="J170" s="3" t="s">
        <v>38</v>
      </c>
    </row>
    <row r="171" customFormat="false" ht="15" hidden="false" customHeight="false" outlineLevel="0" collapsed="false">
      <c r="A171" s="3" t="s">
        <v>382</v>
      </c>
      <c r="B171" s="3" t="s">
        <v>383</v>
      </c>
      <c r="C171" s="10" t="n">
        <v>46162</v>
      </c>
      <c r="D171" s="11" t="n">
        <v>64</v>
      </c>
      <c r="E171" s="3" t="n">
        <v>3</v>
      </c>
      <c r="F171" s="3" t="n">
        <v>0</v>
      </c>
      <c r="G171" s="3" t="n">
        <v>21</v>
      </c>
      <c r="H171" s="3" t="s">
        <v>31</v>
      </c>
      <c r="I171" s="2" t="s">
        <v>32</v>
      </c>
      <c r="J171" s="3" t="s">
        <v>33</v>
      </c>
    </row>
    <row r="172" customFormat="false" ht="15" hidden="false" customHeight="false" outlineLevel="0" collapsed="false">
      <c r="A172" s="3" t="s">
        <v>384</v>
      </c>
      <c r="B172" s="3" t="s">
        <v>385</v>
      </c>
      <c r="C172" s="10" t="n">
        <v>46175</v>
      </c>
      <c r="D172" s="11" t="n">
        <v>22</v>
      </c>
      <c r="E172" s="3" t="n">
        <v>0</v>
      </c>
      <c r="F172" s="3" t="n">
        <v>0</v>
      </c>
      <c r="G172" s="3" t="n">
        <v>2136</v>
      </c>
      <c r="H172" s="3" t="s">
        <v>36</v>
      </c>
      <c r="I172" s="3" t="s">
        <v>37</v>
      </c>
      <c r="J172" s="3" t="s">
        <v>47</v>
      </c>
    </row>
    <row r="173" customFormat="false" ht="15" hidden="false" customHeight="false" outlineLevel="0" collapsed="false">
      <c r="A173" s="3" t="s">
        <v>386</v>
      </c>
      <c r="B173" s="3" t="s">
        <v>387</v>
      </c>
      <c r="C173" s="10" t="n">
        <v>46180</v>
      </c>
      <c r="D173" s="11" t="n">
        <v>14</v>
      </c>
      <c r="E173" s="3" t="n">
        <v>0</v>
      </c>
      <c r="F173" s="3" t="n">
        <v>0</v>
      </c>
      <c r="G173" s="3" t="n">
        <v>973</v>
      </c>
      <c r="H173" s="3" t="s">
        <v>36</v>
      </c>
      <c r="I173" s="3" t="s">
        <v>37</v>
      </c>
      <c r="J173" s="3" t="s">
        <v>38</v>
      </c>
    </row>
    <row r="174" customFormat="false" ht="15" hidden="false" customHeight="false" outlineLevel="0" collapsed="false">
      <c r="A174" s="3" t="s">
        <v>388</v>
      </c>
      <c r="B174" s="3" t="s">
        <v>389</v>
      </c>
      <c r="C174" s="10" t="n">
        <v>46185</v>
      </c>
      <c r="D174" s="11" t="n">
        <v>412</v>
      </c>
      <c r="E174" s="3" t="n">
        <v>3</v>
      </c>
      <c r="F174" s="3" t="n">
        <v>4</v>
      </c>
      <c r="G174" s="3" t="n">
        <v>55</v>
      </c>
      <c r="H174" s="3" t="s">
        <v>31</v>
      </c>
      <c r="I174" s="2" t="s">
        <v>147</v>
      </c>
      <c r="J174" s="3" t="s">
        <v>148</v>
      </c>
    </row>
    <row r="175" customFormat="false" ht="15" hidden="false" customHeight="false" outlineLevel="0" collapsed="false">
      <c r="A175" s="3" t="s">
        <v>390</v>
      </c>
      <c r="B175" s="3" t="s">
        <v>391</v>
      </c>
      <c r="C175" s="10" t="n">
        <v>46207</v>
      </c>
      <c r="D175" s="11" t="n">
        <v>76</v>
      </c>
      <c r="E175" s="3" t="n">
        <v>1</v>
      </c>
      <c r="F175" s="3" t="n">
        <v>0</v>
      </c>
      <c r="G175" s="3" t="n">
        <v>1380</v>
      </c>
      <c r="H175" s="3" t="s">
        <v>31</v>
      </c>
      <c r="I175" s="3" t="s">
        <v>41</v>
      </c>
      <c r="J175" s="3" t="s">
        <v>157</v>
      </c>
    </row>
    <row r="176" customFormat="false" ht="15" hidden="false" customHeight="false" outlineLevel="0" collapsed="false">
      <c r="A176" s="3" t="s">
        <v>392</v>
      </c>
      <c r="B176" s="3" t="s">
        <v>393</v>
      </c>
      <c r="C176" s="10" t="n">
        <v>46207</v>
      </c>
      <c r="D176" s="11" t="n">
        <v>88</v>
      </c>
      <c r="E176" s="3" t="n">
        <v>0</v>
      </c>
      <c r="F176" s="3" t="n">
        <v>0</v>
      </c>
      <c r="G176" s="3" t="n">
        <v>474</v>
      </c>
      <c r="H176" s="3" t="s">
        <v>36</v>
      </c>
      <c r="I176" s="3" t="s">
        <v>37</v>
      </c>
      <c r="J176" s="3" t="s">
        <v>38</v>
      </c>
    </row>
    <row r="177" customFormat="false" ht="15" hidden="false" customHeight="false" outlineLevel="0" collapsed="false">
      <c r="A177" s="3" t="s">
        <v>394</v>
      </c>
      <c r="B177" s="3" t="s">
        <v>395</v>
      </c>
      <c r="C177" s="10" t="n">
        <v>46207</v>
      </c>
      <c r="D177" s="11" t="n">
        <v>49</v>
      </c>
      <c r="E177" s="3" t="n">
        <v>0</v>
      </c>
      <c r="F177" s="3" t="n">
        <v>0</v>
      </c>
      <c r="G177" s="3" t="n">
        <v>1655</v>
      </c>
      <c r="H177" s="3" t="s">
        <v>36</v>
      </c>
      <c r="I177" s="3" t="s">
        <v>37</v>
      </c>
      <c r="J177" s="3" t="s">
        <v>38</v>
      </c>
    </row>
    <row r="178" customFormat="false" ht="15" hidden="false" customHeight="false" outlineLevel="0" collapsed="false">
      <c r="A178" s="3" t="s">
        <v>396</v>
      </c>
      <c r="B178" s="3" t="s">
        <v>397</v>
      </c>
      <c r="C178" s="10" t="n">
        <v>46218</v>
      </c>
      <c r="D178" s="11" t="n">
        <v>64</v>
      </c>
      <c r="E178" s="3" t="n">
        <v>0</v>
      </c>
      <c r="F178" s="3" t="n">
        <v>0</v>
      </c>
      <c r="G178" s="3" t="n">
        <v>574</v>
      </c>
      <c r="H178" s="3" t="s">
        <v>36</v>
      </c>
      <c r="I178" s="3" t="s">
        <v>37</v>
      </c>
      <c r="J178" s="3" t="s">
        <v>38</v>
      </c>
    </row>
    <row r="179" customFormat="false" ht="15" hidden="false" customHeight="false" outlineLevel="0" collapsed="false">
      <c r="A179" s="3" t="s">
        <v>398</v>
      </c>
      <c r="B179" s="3" t="s">
        <v>399</v>
      </c>
      <c r="C179" s="10" t="n">
        <v>46219</v>
      </c>
      <c r="D179" s="11" t="n">
        <v>34</v>
      </c>
      <c r="E179" s="3" t="n">
        <v>1</v>
      </c>
      <c r="F179" s="3" t="n">
        <v>0</v>
      </c>
      <c r="G179" s="3" t="n">
        <v>680</v>
      </c>
      <c r="H179" s="3" t="s">
        <v>31</v>
      </c>
      <c r="I179" s="3" t="s">
        <v>41</v>
      </c>
      <c r="J179" s="3" t="s">
        <v>42</v>
      </c>
    </row>
    <row r="180" customFormat="false" ht="15" hidden="false" customHeight="false" outlineLevel="0" collapsed="false">
      <c r="A180" s="3" t="s">
        <v>400</v>
      </c>
      <c r="B180" s="3" t="s">
        <v>401</v>
      </c>
      <c r="C180" s="10" t="n">
        <v>46225</v>
      </c>
      <c r="D180" s="11" t="n">
        <v>49</v>
      </c>
      <c r="E180" s="3" t="n">
        <v>0</v>
      </c>
      <c r="F180" s="3" t="n">
        <v>0</v>
      </c>
      <c r="G180" s="3" t="n">
        <v>11</v>
      </c>
      <c r="H180" s="3" t="s">
        <v>36</v>
      </c>
      <c r="I180" s="3" t="s">
        <v>37</v>
      </c>
      <c r="J180" s="3" t="s">
        <v>38</v>
      </c>
    </row>
    <row r="181" customFormat="false" ht="15" hidden="false" customHeight="false" outlineLevel="0" collapsed="false">
      <c r="A181" s="3" t="s">
        <v>402</v>
      </c>
      <c r="B181" s="3" t="s">
        <v>253</v>
      </c>
      <c r="C181" s="10" t="n">
        <v>46228</v>
      </c>
      <c r="D181" s="11" t="n">
        <v>189</v>
      </c>
      <c r="E181" s="3" t="n">
        <v>2</v>
      </c>
      <c r="F181" s="3" t="n">
        <v>5</v>
      </c>
      <c r="G181" s="3" t="n">
        <v>111</v>
      </c>
      <c r="H181" s="3" t="s">
        <v>31</v>
      </c>
      <c r="I181" s="2" t="s">
        <v>147</v>
      </c>
      <c r="J181" s="3" t="s">
        <v>148</v>
      </c>
    </row>
    <row r="182" customFormat="false" ht="15" hidden="false" customHeight="false" outlineLevel="0" collapsed="false">
      <c r="A182" s="3" t="s">
        <v>403</v>
      </c>
      <c r="B182" s="3" t="s">
        <v>404</v>
      </c>
      <c r="C182" s="10" t="n">
        <v>46232</v>
      </c>
      <c r="D182" s="11" t="n">
        <v>95</v>
      </c>
      <c r="E182" s="3" t="n">
        <v>0</v>
      </c>
      <c r="F182" s="3" t="n">
        <v>0</v>
      </c>
      <c r="G182" s="3" t="n">
        <v>1406</v>
      </c>
      <c r="H182" s="3" t="s">
        <v>36</v>
      </c>
      <c r="I182" s="3" t="s">
        <v>37</v>
      </c>
      <c r="J182" s="3" t="s">
        <v>38</v>
      </c>
    </row>
    <row r="183" customFormat="false" ht="15" hidden="false" customHeight="false" outlineLevel="0" collapsed="false">
      <c r="A183" s="3" t="s">
        <v>405</v>
      </c>
      <c r="B183" s="3" t="s">
        <v>406</v>
      </c>
      <c r="C183" s="10" t="n">
        <v>46232</v>
      </c>
      <c r="D183" s="11" t="n">
        <v>34</v>
      </c>
      <c r="E183" s="3" t="n">
        <v>0</v>
      </c>
      <c r="F183" s="3" t="n">
        <v>0</v>
      </c>
      <c r="G183" s="3" t="n">
        <v>1681</v>
      </c>
      <c r="H183" s="3" t="s">
        <v>31</v>
      </c>
      <c r="I183" s="3" t="s">
        <v>41</v>
      </c>
      <c r="J183" s="3" t="s">
        <v>42</v>
      </c>
    </row>
    <row r="184" customFormat="false" ht="15" hidden="false" customHeight="false" outlineLevel="0" collapsed="false">
      <c r="A184" s="3" t="s">
        <v>407</v>
      </c>
      <c r="B184" s="3" t="s">
        <v>408</v>
      </c>
      <c r="C184" s="10" t="n">
        <v>46232</v>
      </c>
      <c r="D184" s="11" t="n">
        <v>129</v>
      </c>
      <c r="E184" s="3" t="n">
        <v>0</v>
      </c>
      <c r="F184" s="3" t="n">
        <v>0</v>
      </c>
      <c r="G184" s="3" t="n">
        <v>1061</v>
      </c>
      <c r="H184" s="3" t="s">
        <v>31</v>
      </c>
      <c r="I184" s="3" t="s">
        <v>41</v>
      </c>
      <c r="J184" s="3" t="s">
        <v>42</v>
      </c>
    </row>
    <row r="185" customFormat="false" ht="15" hidden="false" customHeight="false" outlineLevel="0" collapsed="false">
      <c r="A185" s="3" t="s">
        <v>409</v>
      </c>
      <c r="B185" s="3" t="s">
        <v>410</v>
      </c>
      <c r="C185" s="10" t="n">
        <v>46234</v>
      </c>
      <c r="D185" s="11" t="n">
        <v>88</v>
      </c>
      <c r="E185" s="3" t="n">
        <v>1</v>
      </c>
      <c r="F185" s="3" t="n">
        <v>0</v>
      </c>
      <c r="G185" s="3" t="n">
        <v>1847</v>
      </c>
      <c r="H185" s="3" t="s">
        <v>36</v>
      </c>
      <c r="I185" s="3" t="s">
        <v>37</v>
      </c>
      <c r="J185" s="3" t="s">
        <v>38</v>
      </c>
    </row>
    <row r="186" customFormat="false" ht="15" hidden="false" customHeight="false" outlineLevel="0" collapsed="false">
      <c r="A186" s="3" t="s">
        <v>411</v>
      </c>
      <c r="B186" s="3" t="s">
        <v>412</v>
      </c>
      <c r="C186" s="10" t="n">
        <v>46241</v>
      </c>
      <c r="D186" s="11" t="n">
        <v>34</v>
      </c>
      <c r="E186" s="3" t="n">
        <v>2</v>
      </c>
      <c r="F186" s="3" t="n">
        <v>0</v>
      </c>
      <c r="G186" s="3" t="n">
        <v>1536</v>
      </c>
      <c r="H186" s="3" t="s">
        <v>31</v>
      </c>
      <c r="I186" s="3" t="s">
        <v>37</v>
      </c>
      <c r="J186" s="3" t="s">
        <v>47</v>
      </c>
    </row>
    <row r="187" customFormat="false" ht="15" hidden="false" customHeight="false" outlineLevel="0" collapsed="false">
      <c r="A187" s="3" t="s">
        <v>413</v>
      </c>
      <c r="B187" s="3" t="s">
        <v>414</v>
      </c>
      <c r="C187" s="10" t="n">
        <v>46246</v>
      </c>
      <c r="D187" s="11" t="n">
        <v>14</v>
      </c>
      <c r="E187" s="3" t="n">
        <v>0</v>
      </c>
      <c r="F187" s="3" t="n">
        <v>0</v>
      </c>
      <c r="G187" s="3" t="n">
        <v>2117</v>
      </c>
      <c r="H187" s="3" t="s">
        <v>36</v>
      </c>
      <c r="I187" s="3" t="s">
        <v>37</v>
      </c>
      <c r="J187" s="3" t="s">
        <v>38</v>
      </c>
    </row>
    <row r="188" customFormat="false" ht="15" hidden="false" customHeight="false" outlineLevel="0" collapsed="false">
      <c r="A188" s="3" t="s">
        <v>415</v>
      </c>
      <c r="B188" s="3" t="s">
        <v>416</v>
      </c>
      <c r="C188" s="10" t="n">
        <v>46262</v>
      </c>
      <c r="D188" s="11" t="n">
        <v>22</v>
      </c>
      <c r="E188" s="3" t="n">
        <v>0</v>
      </c>
      <c r="F188" s="3" t="n">
        <v>0</v>
      </c>
      <c r="G188" s="3" t="n">
        <v>1117</v>
      </c>
      <c r="H188" s="3" t="s">
        <v>36</v>
      </c>
      <c r="I188" s="3" t="s">
        <v>37</v>
      </c>
      <c r="J188" s="3" t="s">
        <v>38</v>
      </c>
    </row>
    <row r="189" customFormat="false" ht="15" hidden="false" customHeight="false" outlineLevel="0" collapsed="false">
      <c r="A189" s="3" t="s">
        <v>417</v>
      </c>
      <c r="B189" s="3" t="s">
        <v>418</v>
      </c>
      <c r="C189" s="10" t="n">
        <v>46262</v>
      </c>
      <c r="D189" s="11" t="n">
        <v>85</v>
      </c>
      <c r="E189" s="3" t="n">
        <v>0</v>
      </c>
      <c r="F189" s="3" t="n">
        <v>0</v>
      </c>
      <c r="G189" s="3" t="n">
        <v>1070</v>
      </c>
      <c r="H189" s="3" t="s">
        <v>36</v>
      </c>
      <c r="I189" s="3" t="s">
        <v>37</v>
      </c>
      <c r="J189" s="3" t="s">
        <v>38</v>
      </c>
    </row>
    <row r="190" customFormat="false" ht="15" hidden="false" customHeight="false" outlineLevel="0" collapsed="false">
      <c r="A190" s="3" t="s">
        <v>419</v>
      </c>
      <c r="B190" s="3" t="s">
        <v>420</v>
      </c>
      <c r="C190" s="10" t="n">
        <v>46262</v>
      </c>
      <c r="D190" s="11" t="n">
        <v>129</v>
      </c>
      <c r="E190" s="3" t="n">
        <v>1</v>
      </c>
      <c r="F190" s="3" t="n">
        <v>0</v>
      </c>
      <c r="G190" s="3" t="n">
        <v>1625</v>
      </c>
      <c r="H190" s="3" t="s">
        <v>31</v>
      </c>
      <c r="I190" s="2" t="s">
        <v>32</v>
      </c>
      <c r="J190" s="3" t="s">
        <v>33</v>
      </c>
    </row>
    <row r="191" customFormat="false" ht="15" hidden="false" customHeight="false" outlineLevel="0" collapsed="false">
      <c r="A191" s="3" t="s">
        <v>421</v>
      </c>
      <c r="B191" s="3" t="s">
        <v>422</v>
      </c>
      <c r="C191" s="10" t="n">
        <v>46264</v>
      </c>
      <c r="D191" s="11" t="n">
        <v>14</v>
      </c>
      <c r="E191" s="3" t="n">
        <v>0</v>
      </c>
      <c r="F191" s="3" t="n">
        <v>0</v>
      </c>
      <c r="G191" s="3" t="n">
        <v>1658</v>
      </c>
      <c r="H191" s="3" t="s">
        <v>31</v>
      </c>
      <c r="I191" s="3" t="s">
        <v>41</v>
      </c>
      <c r="J191" s="3" t="s">
        <v>42</v>
      </c>
    </row>
    <row r="192" customFormat="false" ht="15" hidden="false" customHeight="false" outlineLevel="0" collapsed="false">
      <c r="A192" s="3" t="s">
        <v>423</v>
      </c>
      <c r="B192" s="3" t="s">
        <v>424</v>
      </c>
      <c r="C192" s="10" t="n">
        <v>46268</v>
      </c>
      <c r="D192" s="11" t="n">
        <v>61</v>
      </c>
      <c r="E192" s="3" t="n">
        <v>0</v>
      </c>
      <c r="F192" s="3" t="n">
        <v>0</v>
      </c>
      <c r="G192" s="3" t="n">
        <v>846</v>
      </c>
      <c r="H192" s="3" t="s">
        <v>36</v>
      </c>
      <c r="I192" s="3" t="s">
        <v>37</v>
      </c>
      <c r="J192" s="3" t="s">
        <v>38</v>
      </c>
    </row>
    <row r="193" customFormat="false" ht="15" hidden="false" customHeight="false" outlineLevel="0" collapsed="false">
      <c r="A193" s="3" t="s">
        <v>425</v>
      </c>
      <c r="B193" s="3" t="s">
        <v>253</v>
      </c>
      <c r="C193" s="10" t="n">
        <v>46269</v>
      </c>
      <c r="D193" s="11" t="n">
        <v>412</v>
      </c>
      <c r="E193" s="3" t="n">
        <v>3</v>
      </c>
      <c r="F193" s="3" t="n">
        <v>3</v>
      </c>
      <c r="G193" s="3" t="n">
        <v>23</v>
      </c>
      <c r="H193" s="3" t="s">
        <v>31</v>
      </c>
      <c r="I193" s="2" t="s">
        <v>147</v>
      </c>
      <c r="J193" s="3" t="s">
        <v>148</v>
      </c>
    </row>
    <row r="194" customFormat="false" ht="15" hidden="false" customHeight="false" outlineLevel="0" collapsed="false">
      <c r="A194" s="3" t="s">
        <v>426</v>
      </c>
      <c r="B194" s="3" t="s">
        <v>427</v>
      </c>
      <c r="C194" s="10" t="n">
        <v>46271</v>
      </c>
      <c r="D194" s="11" t="n">
        <v>79</v>
      </c>
      <c r="E194" s="3" t="n">
        <v>0</v>
      </c>
      <c r="F194" s="3" t="n">
        <v>0</v>
      </c>
      <c r="G194" s="3" t="n">
        <v>460</v>
      </c>
      <c r="H194" s="3" t="s">
        <v>31</v>
      </c>
      <c r="I194" s="2" t="s">
        <v>72</v>
      </c>
      <c r="J194" s="3" t="s">
        <v>73</v>
      </c>
    </row>
    <row r="195" customFormat="false" ht="15" hidden="false" customHeight="false" outlineLevel="0" collapsed="false">
      <c r="A195" s="3" t="s">
        <v>428</v>
      </c>
      <c r="B195" s="3" t="s">
        <v>429</v>
      </c>
      <c r="C195" s="10" t="n">
        <v>46276</v>
      </c>
      <c r="D195" s="11" t="n">
        <v>129</v>
      </c>
      <c r="E195" s="3" t="n">
        <v>0</v>
      </c>
      <c r="F195" s="3" t="n">
        <v>0</v>
      </c>
      <c r="G195" s="3" t="n">
        <v>2003</v>
      </c>
      <c r="H195" s="3" t="s">
        <v>36</v>
      </c>
      <c r="I195" s="3" t="s">
        <v>37</v>
      </c>
      <c r="J195" s="3" t="s">
        <v>38</v>
      </c>
    </row>
    <row r="196" customFormat="false" ht="15" hidden="false" customHeight="false" outlineLevel="0" collapsed="false">
      <c r="A196" s="3" t="s">
        <v>430</v>
      </c>
      <c r="B196" s="3" t="s">
        <v>431</v>
      </c>
      <c r="C196" s="10" t="n">
        <v>46277</v>
      </c>
      <c r="D196" s="11" t="n">
        <v>61</v>
      </c>
      <c r="E196" s="3" t="n">
        <v>0</v>
      </c>
      <c r="F196" s="3" t="n">
        <v>0</v>
      </c>
      <c r="G196" s="3" t="n">
        <v>1380</v>
      </c>
      <c r="H196" s="3" t="s">
        <v>36</v>
      </c>
      <c r="I196" s="3" t="s">
        <v>37</v>
      </c>
      <c r="J196" s="3" t="s">
        <v>38</v>
      </c>
    </row>
    <row r="197" customFormat="false" ht="15" hidden="false" customHeight="false" outlineLevel="0" collapsed="false">
      <c r="A197" s="3" t="s">
        <v>432</v>
      </c>
      <c r="B197" s="3" t="s">
        <v>433</v>
      </c>
      <c r="C197" s="10" t="n">
        <v>46287</v>
      </c>
      <c r="D197" s="11" t="n">
        <v>34</v>
      </c>
      <c r="E197" s="3" t="n">
        <v>0</v>
      </c>
      <c r="F197" s="3" t="n">
        <v>0</v>
      </c>
      <c r="G197" s="3" t="n">
        <v>1878</v>
      </c>
      <c r="H197" s="3" t="s">
        <v>36</v>
      </c>
      <c r="I197" s="3" t="s">
        <v>37</v>
      </c>
      <c r="J197" s="3" t="s">
        <v>38</v>
      </c>
    </row>
    <row r="198" customFormat="false" ht="15" hidden="false" customHeight="false" outlineLevel="0" collapsed="false">
      <c r="A198" s="3" t="s">
        <v>434</v>
      </c>
      <c r="B198" s="3" t="s">
        <v>435</v>
      </c>
      <c r="C198" s="10" t="n">
        <v>46295</v>
      </c>
      <c r="D198" s="11" t="n">
        <v>129</v>
      </c>
      <c r="E198" s="3" t="n">
        <v>5</v>
      </c>
      <c r="F198" s="3" t="n">
        <v>0</v>
      </c>
      <c r="G198" s="3" t="n">
        <v>10</v>
      </c>
      <c r="H198" s="3" t="s">
        <v>31</v>
      </c>
      <c r="I198" s="2" t="s">
        <v>32</v>
      </c>
      <c r="J198" s="3" t="s">
        <v>33</v>
      </c>
    </row>
    <row r="199" customFormat="false" ht="15" hidden="false" customHeight="false" outlineLevel="0" collapsed="false">
      <c r="A199" s="3" t="s">
        <v>436</v>
      </c>
      <c r="B199" s="3" t="s">
        <v>437</v>
      </c>
      <c r="C199" s="10" t="n">
        <v>46300</v>
      </c>
      <c r="D199" s="11" t="n">
        <v>88</v>
      </c>
      <c r="E199" s="3" t="n">
        <v>0</v>
      </c>
      <c r="F199" s="3" t="n">
        <v>0</v>
      </c>
      <c r="G199" s="3" t="n">
        <v>417</v>
      </c>
      <c r="H199" s="3" t="s">
        <v>36</v>
      </c>
      <c r="I199" s="3" t="s">
        <v>37</v>
      </c>
      <c r="J199" s="3" t="s">
        <v>38</v>
      </c>
    </row>
    <row r="200" customFormat="false" ht="15" hidden="false" customHeight="false" outlineLevel="0" collapsed="false">
      <c r="A200" s="3" t="s">
        <v>438</v>
      </c>
      <c r="B200" s="3" t="s">
        <v>439</v>
      </c>
      <c r="C200" s="10" t="n">
        <v>46303</v>
      </c>
      <c r="D200" s="11" t="n">
        <v>58</v>
      </c>
      <c r="E200" s="3" t="n">
        <v>0</v>
      </c>
      <c r="F200" s="3" t="n">
        <v>0</v>
      </c>
      <c r="G200" s="3" t="n">
        <v>1255</v>
      </c>
      <c r="H200" s="3" t="s">
        <v>36</v>
      </c>
      <c r="I200" s="3" t="s">
        <v>37</v>
      </c>
      <c r="J200" s="3" t="s">
        <v>47</v>
      </c>
    </row>
    <row r="201" customFormat="false" ht="15" hidden="false" customHeight="false" outlineLevel="0" collapsed="false">
      <c r="A201" s="3" t="s">
        <v>440</v>
      </c>
      <c r="B201" s="3" t="s">
        <v>441</v>
      </c>
      <c r="C201" s="10" t="n">
        <v>46309</v>
      </c>
      <c r="D201" s="11" t="n">
        <v>148</v>
      </c>
      <c r="E201" s="3" t="n">
        <v>0</v>
      </c>
      <c r="F201" s="3" t="n">
        <v>0</v>
      </c>
      <c r="G201" s="3" t="n">
        <v>662</v>
      </c>
      <c r="H201" s="3" t="s">
        <v>36</v>
      </c>
      <c r="I201" s="2" t="s">
        <v>76</v>
      </c>
      <c r="J201" s="3" t="s">
        <v>77</v>
      </c>
    </row>
    <row r="203" customFormat="false" ht="15" hidden="false" customHeight="false" outlineLevel="0" collapsed="false">
      <c r="A203" s="12" t="s">
        <v>442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24"/>
  </cols>
  <sheetData>
    <row r="1" customFormat="false" ht="17.35" hidden="false" customHeight="false" outlineLevel="0" collapsed="false">
      <c r="A1" s="1" t="s">
        <v>443</v>
      </c>
    </row>
    <row r="2" customFormat="false" ht="15" hidden="false" customHeight="false" outlineLevel="0" collapsed="false">
      <c r="A2" s="12" t="s">
        <v>444</v>
      </c>
    </row>
    <row r="4" customFormat="false" ht="15" hidden="false" customHeight="false" outlineLevel="0" collapsed="false">
      <c r="A4" s="13" t="s">
        <v>445</v>
      </c>
      <c r="B4" s="13" t="s">
        <v>446</v>
      </c>
      <c r="C4" s="13" t="s">
        <v>447</v>
      </c>
      <c r="D4" s="13" t="s">
        <v>448</v>
      </c>
    </row>
    <row r="5" customFormat="false" ht="15" hidden="false" customHeight="false" outlineLevel="0" collapsed="false">
      <c r="A5" s="3" t="s">
        <v>37</v>
      </c>
      <c r="B5" s="14" t="n">
        <f aca="false">COUNTIF('Golden Dataset'!$I$2:$I$201,A5)</f>
        <v>119</v>
      </c>
      <c r="C5" s="15" t="n">
        <f aca="false">B5/$B$11</f>
        <v>0.595</v>
      </c>
      <c r="D5" s="11" t="n">
        <f aca="false">IFERROR(AVERAGEIF('Golden Dataset'!$I$2:$I$201,A5,'Golden Dataset'!$D$2:$D$201),0)</f>
        <v>66.5294117647059</v>
      </c>
    </row>
    <row r="6" customFormat="false" ht="15" hidden="false" customHeight="false" outlineLevel="0" collapsed="false">
      <c r="A6" s="3" t="s">
        <v>41</v>
      </c>
      <c r="B6" s="14" t="n">
        <f aca="false">COUNTIF('Golden Dataset'!$I$2:$I$201,A6)</f>
        <v>13</v>
      </c>
      <c r="C6" s="15" t="n">
        <f aca="false">B6/$B$11</f>
        <v>0.065</v>
      </c>
      <c r="D6" s="11" t="n">
        <f aca="false">IFERROR(AVERAGEIF('Golden Dataset'!$I$2:$I$201,A6,'Golden Dataset'!$D$2:$D$201),0)</f>
        <v>65.5384615384615</v>
      </c>
    </row>
    <row r="7" customFormat="false" ht="15" hidden="false" customHeight="false" outlineLevel="0" collapsed="false">
      <c r="A7" s="3" t="s">
        <v>32</v>
      </c>
      <c r="B7" s="14" t="n">
        <f aca="false">COUNTIF('Golden Dataset'!$I$2:$I$201,A7)</f>
        <v>29</v>
      </c>
      <c r="C7" s="15" t="n">
        <f aca="false">B7/$B$11</f>
        <v>0.145</v>
      </c>
      <c r="D7" s="11" t="n">
        <f aca="false">IFERROR(AVERAGEIF('Golden Dataset'!$I$2:$I$201,A7,'Golden Dataset'!$D$2:$D$201),0)</f>
        <v>85.6206896551724</v>
      </c>
    </row>
    <row r="8" customFormat="false" ht="15" hidden="false" customHeight="false" outlineLevel="0" collapsed="false">
      <c r="A8" s="3" t="s">
        <v>76</v>
      </c>
      <c r="B8" s="14" t="n">
        <f aca="false">COUNTIF('Golden Dataset'!$I$2:$I$201,A8)</f>
        <v>16</v>
      </c>
      <c r="C8" s="15" t="n">
        <f aca="false">B8/$B$11</f>
        <v>0.08</v>
      </c>
      <c r="D8" s="11" t="n">
        <f aca="false">IFERROR(AVERAGEIF('Golden Dataset'!$I$2:$I$201,A8,'Golden Dataset'!$D$2:$D$201),0)</f>
        <v>149.1875</v>
      </c>
    </row>
    <row r="9" customFormat="false" ht="15" hidden="false" customHeight="false" outlineLevel="0" collapsed="false">
      <c r="A9" s="3" t="s">
        <v>72</v>
      </c>
      <c r="B9" s="14" t="n">
        <f aca="false">COUNTIF('Golden Dataset'!$I$2:$I$201,A9)</f>
        <v>14</v>
      </c>
      <c r="C9" s="15" t="n">
        <f aca="false">B9/$B$11</f>
        <v>0.07</v>
      </c>
      <c r="D9" s="11" t="n">
        <f aca="false">IFERROR(AVERAGEIF('Golden Dataset'!$I$2:$I$201,A9,'Golden Dataset'!$D$2:$D$201),0)</f>
        <v>81</v>
      </c>
    </row>
    <row r="10" customFormat="false" ht="15" hidden="false" customHeight="false" outlineLevel="0" collapsed="false">
      <c r="A10" s="3" t="s">
        <v>147</v>
      </c>
      <c r="B10" s="14" t="n">
        <f aca="false">COUNTIF('Golden Dataset'!$I$2:$I$201,A10)</f>
        <v>9</v>
      </c>
      <c r="C10" s="15" t="n">
        <f aca="false">B10/$B$11</f>
        <v>0.045</v>
      </c>
      <c r="D10" s="11" t="n">
        <f aca="false">IFERROR(AVERAGEIF('Golden Dataset'!$I$2:$I$201,A10,'Golden Dataset'!$D$2:$D$201),0)</f>
        <v>252.444444444444</v>
      </c>
    </row>
    <row r="11" customFormat="false" ht="15" hidden="false" customHeight="false" outlineLevel="0" collapsed="false">
      <c r="A11" s="16" t="s">
        <v>449</v>
      </c>
      <c r="B11" s="17" t="n">
        <f aca="false">SUM(B5:B10)</f>
        <v>200</v>
      </c>
      <c r="C11" s="18" t="n">
        <f aca="false">SUM(C5:C10)</f>
        <v>1</v>
      </c>
      <c r="D11" s="19" t="n">
        <f aca="false">AVERAGE('Golden Dataset'!$D$2:$D$201)</f>
        <v>85.225</v>
      </c>
    </row>
    <row r="12" customFormat="false" ht="15" hidden="false" customHeight="false" outlineLevel="0" collapsed="false">
      <c r="A12" s="4" t="s">
        <v>450</v>
      </c>
      <c r="B12" s="20" t="n">
        <f aca="false">COUNTIF('Golden Dataset'!$I$2:$I$201,"Abuse*")</f>
        <v>68</v>
      </c>
      <c r="C12" s="21" t="n">
        <f aca="false">B12/$B$11</f>
        <v>0.34</v>
      </c>
      <c r="D12" s="22" t="n">
        <f aca="false">IFERROR(AVERAGEIF('Golden Dataset'!$I$2:$I$201,"Abuse*",'Golden Dataset'!$D$2:$D$201),0)</f>
        <v>121.705882352941</v>
      </c>
    </row>
    <row r="14" customFormat="false" ht="15" hidden="false" customHeight="false" outlineLevel="0" collapsed="false">
      <c r="A14" s="13" t="s">
        <v>451</v>
      </c>
      <c r="B14" s="13" t="s">
        <v>446</v>
      </c>
      <c r="C14" s="13" t="s">
        <v>447</v>
      </c>
      <c r="D14" s="13"/>
    </row>
    <row r="15" customFormat="false" ht="15" hidden="false" customHeight="false" outlineLevel="0" collapsed="false">
      <c r="A15" s="3" t="s">
        <v>116</v>
      </c>
      <c r="B15" s="3" t="n">
        <f aca="false">COUNTIF('Golden Dataset'!$J$2:$J$201,A15)</f>
        <v>6</v>
      </c>
      <c r="C15" s="15" t="n">
        <f aca="false">B15/$B$11</f>
        <v>0.03</v>
      </c>
      <c r="D15" s="3"/>
    </row>
    <row r="16" customFormat="false" ht="15" hidden="false" customHeight="false" outlineLevel="0" collapsed="false">
      <c r="A16" s="3" t="s">
        <v>157</v>
      </c>
      <c r="B16" s="3" t="n">
        <f aca="false">COUNTIF('Golden Dataset'!$J$2:$J$201,A16)</f>
        <v>5</v>
      </c>
      <c r="C16" s="15" t="n">
        <f aca="false">B16/$B$11</f>
        <v>0.025</v>
      </c>
      <c r="D16" s="3"/>
    </row>
    <row r="17" customFormat="false" ht="15" hidden="false" customHeight="false" outlineLevel="0" collapsed="false">
      <c r="A17" s="3" t="s">
        <v>73</v>
      </c>
      <c r="B17" s="3" t="n">
        <f aca="false">COUNTIF('Golden Dataset'!$J$2:$J$201,A17)</f>
        <v>14</v>
      </c>
      <c r="C17" s="15" t="n">
        <f aca="false">B17/$B$11</f>
        <v>0.07</v>
      </c>
      <c r="D17" s="3"/>
    </row>
    <row r="18" customFormat="false" ht="15" hidden="false" customHeight="false" outlineLevel="0" collapsed="false">
      <c r="A18" s="3" t="s">
        <v>33</v>
      </c>
      <c r="B18" s="3" t="n">
        <f aca="false">COUNTIF('Golden Dataset'!$J$2:$J$201,A18)</f>
        <v>23</v>
      </c>
      <c r="C18" s="15" t="n">
        <f aca="false">B18/$B$11</f>
        <v>0.115</v>
      </c>
      <c r="D18" s="3"/>
    </row>
    <row r="19" customFormat="false" ht="15" hidden="false" customHeight="false" outlineLevel="0" collapsed="false">
      <c r="A19" s="3" t="s">
        <v>38</v>
      </c>
      <c r="B19" s="3" t="n">
        <f aca="false">COUNTIF('Golden Dataset'!$J$2:$J$201,A19)</f>
        <v>95</v>
      </c>
      <c r="C19" s="15" t="n">
        <f aca="false">B19/$B$11</f>
        <v>0.475</v>
      </c>
      <c r="D19" s="3"/>
    </row>
    <row r="20" customFormat="false" ht="15" hidden="false" customHeight="false" outlineLevel="0" collapsed="false">
      <c r="A20" s="3" t="s">
        <v>148</v>
      </c>
      <c r="B20" s="3" t="n">
        <f aca="false">COUNTIF('Golden Dataset'!$J$2:$J$201,A20)</f>
        <v>9</v>
      </c>
      <c r="C20" s="15" t="n">
        <f aca="false">B20/$B$11</f>
        <v>0.045</v>
      </c>
      <c r="D20" s="3"/>
    </row>
    <row r="21" customFormat="false" ht="15" hidden="false" customHeight="false" outlineLevel="0" collapsed="false">
      <c r="A21" s="3" t="s">
        <v>42</v>
      </c>
      <c r="B21" s="3" t="n">
        <f aca="false">COUNTIF('Golden Dataset'!$J$2:$J$201,A21)</f>
        <v>8</v>
      </c>
      <c r="C21" s="15" t="n">
        <f aca="false">B21/$B$11</f>
        <v>0.04</v>
      </c>
      <c r="D21" s="3"/>
    </row>
    <row r="22" customFormat="false" ht="15" hidden="false" customHeight="false" outlineLevel="0" collapsed="false">
      <c r="A22" s="3" t="s">
        <v>47</v>
      </c>
      <c r="B22" s="3" t="n">
        <f aca="false">COUNTIF('Golden Dataset'!$J$2:$J$201,A22)</f>
        <v>24</v>
      </c>
      <c r="C22" s="15" t="n">
        <f aca="false">B22/$B$11</f>
        <v>0.12</v>
      </c>
      <c r="D22" s="3"/>
    </row>
    <row r="23" customFormat="false" ht="15" hidden="false" customHeight="false" outlineLevel="0" collapsed="false">
      <c r="A23" s="3" t="s">
        <v>77</v>
      </c>
      <c r="B23" s="3" t="n">
        <f aca="false">COUNTIF('Golden Dataset'!$J$2:$J$201,A23)</f>
        <v>16</v>
      </c>
      <c r="C23" s="15" t="n">
        <f aca="false">B23/$B$11</f>
        <v>0.08</v>
      </c>
      <c r="D23" s="3"/>
    </row>
    <row r="25" customFormat="false" ht="15" hidden="false" customHeight="false" outlineLevel="0" collapsed="false">
      <c r="A25" s="12" t="s">
        <v>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2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28"/>
  </cols>
  <sheetData>
    <row r="1" customFormat="false" ht="15" hidden="false" customHeight="false" outlineLevel="0" collapsed="false">
      <c r="A1" s="13" t="s">
        <v>453</v>
      </c>
      <c r="B1" s="13" t="s">
        <v>454</v>
      </c>
      <c r="C1" s="13" t="s">
        <v>455</v>
      </c>
      <c r="D1" s="13" t="s">
        <v>456</v>
      </c>
      <c r="E1" s="13" t="s">
        <v>457</v>
      </c>
    </row>
    <row r="2" customFormat="false" ht="15" hidden="false" customHeight="false" outlineLevel="0" collapsed="false">
      <c r="A2" s="23" t="s">
        <v>19</v>
      </c>
      <c r="B2" s="24" t="s">
        <v>458</v>
      </c>
      <c r="C2" s="24" t="s">
        <v>459</v>
      </c>
      <c r="D2" s="24" t="s">
        <v>460</v>
      </c>
      <c r="E2" s="24" t="s">
        <v>29</v>
      </c>
    </row>
    <row r="3" customFormat="false" ht="15" hidden="false" customHeight="false" outlineLevel="0" collapsed="false">
      <c r="A3" s="23" t="s">
        <v>20</v>
      </c>
      <c r="B3" s="24" t="s">
        <v>461</v>
      </c>
      <c r="C3" s="24" t="s">
        <v>462</v>
      </c>
      <c r="D3" s="24" t="s">
        <v>460</v>
      </c>
      <c r="E3" s="24" t="s">
        <v>30</v>
      </c>
    </row>
    <row r="4" customFormat="false" ht="15" hidden="false" customHeight="false" outlineLevel="0" collapsed="false">
      <c r="A4" s="23" t="s">
        <v>21</v>
      </c>
      <c r="B4" s="24" t="s">
        <v>463</v>
      </c>
      <c r="C4" s="24" t="s">
        <v>459</v>
      </c>
      <c r="D4" s="24" t="s">
        <v>464</v>
      </c>
      <c r="E4" s="24" t="s">
        <v>465</v>
      </c>
    </row>
    <row r="5" customFormat="false" ht="15" hidden="false" customHeight="false" outlineLevel="0" collapsed="false">
      <c r="A5" s="23" t="s">
        <v>22</v>
      </c>
      <c r="B5" s="24" t="s">
        <v>466</v>
      </c>
      <c r="C5" s="24" t="s">
        <v>467</v>
      </c>
      <c r="D5" s="24" t="s">
        <v>468</v>
      </c>
      <c r="E5" s="24" t="s">
        <v>469</v>
      </c>
    </row>
    <row r="6" customFormat="false" ht="15" hidden="false" customHeight="false" outlineLevel="0" collapsed="false">
      <c r="A6" s="23" t="s">
        <v>23</v>
      </c>
      <c r="B6" s="24" t="s">
        <v>470</v>
      </c>
      <c r="C6" s="24" t="s">
        <v>471</v>
      </c>
      <c r="D6" s="24" t="s">
        <v>472</v>
      </c>
      <c r="E6" s="24" t="s">
        <v>473</v>
      </c>
    </row>
    <row r="7" customFormat="false" ht="23.85" hidden="false" customHeight="false" outlineLevel="0" collapsed="false">
      <c r="A7" s="23" t="s">
        <v>24</v>
      </c>
      <c r="B7" s="24" t="s">
        <v>474</v>
      </c>
      <c r="C7" s="24" t="s">
        <v>475</v>
      </c>
      <c r="D7" s="24" t="s">
        <v>472</v>
      </c>
      <c r="E7" s="24" t="s">
        <v>476</v>
      </c>
    </row>
    <row r="8" customFormat="false" ht="15" hidden="false" customHeight="false" outlineLevel="0" collapsed="false">
      <c r="A8" s="23" t="s">
        <v>25</v>
      </c>
      <c r="B8" s="24" t="s">
        <v>477</v>
      </c>
      <c r="C8" s="24" t="s">
        <v>478</v>
      </c>
      <c r="D8" s="24" t="s">
        <v>472</v>
      </c>
      <c r="E8" s="24" t="s">
        <v>479</v>
      </c>
    </row>
    <row r="9" customFormat="false" ht="15" hidden="false" customHeight="false" outlineLevel="0" collapsed="false">
      <c r="A9" s="23" t="s">
        <v>26</v>
      </c>
      <c r="B9" s="24" t="s">
        <v>480</v>
      </c>
      <c r="C9" s="24" t="s">
        <v>481</v>
      </c>
      <c r="D9" s="24" t="s">
        <v>482</v>
      </c>
      <c r="E9" s="24" t="s">
        <v>31</v>
      </c>
    </row>
    <row r="10" customFormat="false" ht="15" hidden="false" customHeight="false" outlineLevel="0" collapsed="false">
      <c r="A10" s="23" t="s">
        <v>27</v>
      </c>
      <c r="B10" s="24" t="s">
        <v>483</v>
      </c>
      <c r="C10" s="24" t="s">
        <v>484</v>
      </c>
      <c r="D10" s="24" t="s">
        <v>485</v>
      </c>
      <c r="E10" s="24" t="s">
        <v>32</v>
      </c>
    </row>
    <row r="11" customFormat="false" ht="15" hidden="false" customHeight="false" outlineLevel="0" collapsed="false">
      <c r="A11" s="23" t="s">
        <v>28</v>
      </c>
      <c r="B11" s="24" t="s">
        <v>486</v>
      </c>
      <c r="C11" s="24" t="s">
        <v>484</v>
      </c>
      <c r="D11" s="24" t="s">
        <v>485</v>
      </c>
      <c r="E11" s="24" t="s">
        <v>33</v>
      </c>
    </row>
    <row r="13" customFormat="false" ht="15" hidden="false" customHeight="false" outlineLevel="0" collapsed="false">
      <c r="A13" s="12" t="s">
        <v>487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7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8" min="8" style="0" width="20"/>
    <col collapsed="false" customWidth="true" hidden="false" outlineLevel="0" max="12" min="12" style="0" width="46"/>
    <col collapsed="false" customWidth="true" hidden="false" outlineLevel="0" max="19" min="13" style="0" width="13"/>
  </cols>
  <sheetData>
    <row r="1" customFormat="false" ht="17.35" hidden="false" customHeight="false" outlineLevel="0" collapsed="false">
      <c r="A1" s="1" t="s">
        <v>488</v>
      </c>
    </row>
    <row r="2" customFormat="false" ht="15" hidden="false" customHeight="false" outlineLevel="0" collapsed="false">
      <c r="A2" s="12" t="s">
        <v>489</v>
      </c>
    </row>
    <row r="4" customFormat="false" ht="15" hidden="false" customHeight="false" outlineLevel="0" collapsed="false">
      <c r="A4" s="13" t="s">
        <v>19</v>
      </c>
      <c r="B4" s="13" t="s">
        <v>27</v>
      </c>
      <c r="C4" s="13" t="s">
        <v>490</v>
      </c>
      <c r="D4" s="13" t="s">
        <v>491</v>
      </c>
      <c r="E4" s="13" t="s">
        <v>492</v>
      </c>
      <c r="F4" s="13" t="s">
        <v>493</v>
      </c>
      <c r="G4" s="13" t="s">
        <v>494</v>
      </c>
      <c r="H4" s="13" t="s">
        <v>495</v>
      </c>
      <c r="L4" s="4" t="s">
        <v>496</v>
      </c>
    </row>
    <row r="5" customFormat="false" ht="15" hidden="false" customHeight="false" outlineLevel="0" collapsed="false">
      <c r="A5" s="3" t="str">
        <f aca="false">'Golden Dataset'!A2</f>
        <v>R-10482</v>
      </c>
      <c r="B5" s="3" t="str">
        <f aca="false">'Golden Dataset'!I2</f>
        <v>Abuse: refund without return</v>
      </c>
      <c r="C5" s="3" t="n">
        <f aca="false">MIN(99,$M$5*'Golden Dataset'!E2+$M$6*'Golden Dataset'!F2+IF('Golden Dataset'!G2&lt;30,$M$7,0)+IF('Golden Dataset'!H2="No",$M$8,0))</f>
        <v>99</v>
      </c>
      <c r="D5" s="3" t="str">
        <f aca="false">IF(C5&gt;=$M$9,"Hold and review",IF(C5&gt;=$M$10,"Refund on carrier scan","Approve"))</f>
        <v>Hold and review</v>
      </c>
      <c r="E5" s="3" t="n">
        <f aca="false">IF(C5&gt;=$M$9,1,0)</f>
        <v>1</v>
      </c>
      <c r="F5" s="3" t="n">
        <f aca="false">IF(LEFT(B5,5)="Abuse",1,0)</f>
        <v>1</v>
      </c>
      <c r="G5" s="3" t="n">
        <f aca="false">IF(B5="Abuse: refund without return",1,0)</f>
        <v>1</v>
      </c>
      <c r="H5" s="3" t="str">
        <f aca="false">IF(E5=1,IF(F5=1,"Correct hold","False alarm"),IF(F5=1,"Missed","Correctly left alone"))</f>
        <v>Correct hold</v>
      </c>
      <c r="L5" s="3" t="s">
        <v>497</v>
      </c>
      <c r="M5" s="25" t="n">
        <v>22</v>
      </c>
    </row>
    <row r="6" customFormat="false" ht="15" hidden="false" customHeight="false" outlineLevel="0" collapsed="false">
      <c r="A6" s="3" t="str">
        <f aca="false">'Golden Dataset'!A3</f>
        <v>R-10483</v>
      </c>
      <c r="B6" s="3" t="str">
        <f aca="false">'Golden Dataset'!I3</f>
        <v>Honest</v>
      </c>
      <c r="C6" s="3" t="n">
        <f aca="false">MIN(99,$M$5*'Golden Dataset'!E3+$M$6*'Golden Dataset'!F3+IF('Golden Dataset'!G3&lt;30,$M$7,0)+IF('Golden Dataset'!H3="No",$M$8,0))</f>
        <v>0</v>
      </c>
      <c r="D6" s="3" t="str">
        <f aca="false">IF(C6&gt;=$M$9,"Hold and review",IF(C6&gt;=$M$10,"Refund on carrier scan","Approve"))</f>
        <v>Approve</v>
      </c>
      <c r="E6" s="3" t="n">
        <f aca="false">IF(C6&gt;=$M$9,1,0)</f>
        <v>0</v>
      </c>
      <c r="F6" s="3" t="n">
        <f aca="false">IF(LEFT(B6,5)="Abuse",1,0)</f>
        <v>0</v>
      </c>
      <c r="G6" s="3" t="n">
        <f aca="false">IF(B6="Abuse: refund without return",1,0)</f>
        <v>0</v>
      </c>
      <c r="H6" s="3" t="str">
        <f aca="false">IF(E6=1,IF(F6=1,"Correct hold","False alarm"),IF(F6=1,"Missed","Correctly left alone"))</f>
        <v>Correctly left alone</v>
      </c>
      <c r="L6" s="3" t="s">
        <v>498</v>
      </c>
      <c r="M6" s="25" t="n">
        <v>20</v>
      </c>
    </row>
    <row r="7" customFormat="false" ht="15" hidden="false" customHeight="false" outlineLevel="0" collapsed="false">
      <c r="A7" s="3" t="str">
        <f aca="false">'Golden Dataset'!A4</f>
        <v>R-10484</v>
      </c>
      <c r="B7" s="3" t="str">
        <f aca="false">'Golden Dataset'!I4</f>
        <v>Honest: carrier lost parcel</v>
      </c>
      <c r="C7" s="3" t="n">
        <f aca="false">MIN(99,$M$5*'Golden Dataset'!E4+$M$6*'Golden Dataset'!F4+IF('Golden Dataset'!G4&lt;30,$M$7,0)+IF('Golden Dataset'!H4="No",$M$8,0))</f>
        <v>30</v>
      </c>
      <c r="D7" s="3" t="str">
        <f aca="false">IF(C7&gt;=$M$9,"Hold and review",IF(C7&gt;=$M$10,"Refund on carrier scan","Approve"))</f>
        <v>Refund on carrier scan</v>
      </c>
      <c r="E7" s="3" t="n">
        <f aca="false">IF(C7&gt;=$M$9,1,0)</f>
        <v>0</v>
      </c>
      <c r="F7" s="3" t="n">
        <f aca="false">IF(LEFT(B7,5)="Abuse",1,0)</f>
        <v>0</v>
      </c>
      <c r="G7" s="3" t="n">
        <f aca="false">IF(B7="Abuse: refund without return",1,0)</f>
        <v>0</v>
      </c>
      <c r="H7" s="3" t="str">
        <f aca="false">IF(E7=1,IF(F7=1,"Correct hold","False alarm"),IF(F7=1,"Missed","Correctly left alone"))</f>
        <v>Correctly left alone</v>
      </c>
      <c r="L7" s="3" t="s">
        <v>499</v>
      </c>
      <c r="M7" s="25" t="n">
        <v>12</v>
      </c>
    </row>
    <row r="8" customFormat="false" ht="15" hidden="false" customHeight="false" outlineLevel="0" collapsed="false">
      <c r="A8" s="3" t="str">
        <f aca="false">'Golden Dataset'!A5</f>
        <v>R-08025</v>
      </c>
      <c r="B8" s="3" t="str">
        <f aca="false">'Golden Dataset'!I5</f>
        <v>Honest</v>
      </c>
      <c r="C8" s="3" t="n">
        <f aca="false">MIN(99,$M$5*'Golden Dataset'!E5+$M$6*'Golden Dataset'!F5+IF('Golden Dataset'!G5&lt;30,$M$7,0)+IF('Golden Dataset'!H5="No",$M$8,0))</f>
        <v>0</v>
      </c>
      <c r="D8" s="3" t="str">
        <f aca="false">IF(C8&gt;=$M$9,"Hold and review",IF(C8&gt;=$M$10,"Refund on carrier scan","Approve"))</f>
        <v>Approve</v>
      </c>
      <c r="E8" s="3" t="n">
        <f aca="false">IF(C8&gt;=$M$9,1,0)</f>
        <v>0</v>
      </c>
      <c r="F8" s="3" t="n">
        <f aca="false">IF(LEFT(B8,5)="Abuse",1,0)</f>
        <v>0</v>
      </c>
      <c r="G8" s="3" t="n">
        <f aca="false">IF(B8="Abuse: refund without return",1,0)</f>
        <v>0</v>
      </c>
      <c r="H8" s="3" t="str">
        <f aca="false">IF(E8=1,IF(F8=1,"Correct hold","False alarm"),IF(F8=1,"Missed","Correctly left alone"))</f>
        <v>Correctly left alone</v>
      </c>
      <c r="L8" s="3" t="s">
        <v>500</v>
      </c>
      <c r="M8" s="25" t="n">
        <v>8</v>
      </c>
    </row>
    <row r="9" customFormat="false" ht="15" hidden="false" customHeight="false" outlineLevel="0" collapsed="false">
      <c r="A9" s="3" t="str">
        <f aca="false">'Golden Dataset'!A6</f>
        <v>R-08039</v>
      </c>
      <c r="B9" s="3" t="str">
        <f aca="false">'Golden Dataset'!I6</f>
        <v>Honest</v>
      </c>
      <c r="C9" s="3" t="n">
        <f aca="false">MIN(99,$M$5*'Golden Dataset'!E6+$M$6*'Golden Dataset'!F6+IF('Golden Dataset'!G6&lt;30,$M$7,0)+IF('Golden Dataset'!H6="No",$M$8,0))</f>
        <v>0</v>
      </c>
      <c r="D9" s="3" t="str">
        <f aca="false">IF(C9&gt;=$M$9,"Hold and review",IF(C9&gt;=$M$10,"Refund on carrier scan","Approve"))</f>
        <v>Approve</v>
      </c>
      <c r="E9" s="3" t="n">
        <f aca="false">IF(C9&gt;=$M$9,1,0)</f>
        <v>0</v>
      </c>
      <c r="F9" s="3" t="n">
        <f aca="false">IF(LEFT(B9,5)="Abuse",1,0)</f>
        <v>0</v>
      </c>
      <c r="G9" s="3" t="n">
        <f aca="false">IF(B9="Abuse: refund without return",1,0)</f>
        <v>0</v>
      </c>
      <c r="H9" s="3" t="str">
        <f aca="false">IF(E9=1,IF(F9=1,"Correct hold","False alarm"),IF(F9=1,"Missed","Correctly left alone"))</f>
        <v>Correctly left alone</v>
      </c>
      <c r="L9" s="3" t="s">
        <v>501</v>
      </c>
      <c r="M9" s="25" t="n">
        <v>60</v>
      </c>
    </row>
    <row r="10" customFormat="false" ht="15" hidden="false" customHeight="false" outlineLevel="0" collapsed="false">
      <c r="A10" s="3" t="str">
        <f aca="false">'Golden Dataset'!A7</f>
        <v>R-08072</v>
      </c>
      <c r="B10" s="3" t="str">
        <f aca="false">'Golden Dataset'!I7</f>
        <v>Abuse: refund without return</v>
      </c>
      <c r="C10" s="3" t="n">
        <f aca="false">MIN(99,$M$5*'Golden Dataset'!E7+$M$6*'Golden Dataset'!F7+IF('Golden Dataset'!G7&lt;30,$M$7,0)+IF('Golden Dataset'!H7="No",$M$8,0))</f>
        <v>52</v>
      </c>
      <c r="D10" s="3" t="str">
        <f aca="false">IF(C10&gt;=$M$9,"Hold and review",IF(C10&gt;=$M$10,"Refund on carrier scan","Approve"))</f>
        <v>Refund on carrier scan</v>
      </c>
      <c r="E10" s="3" t="n">
        <f aca="false">IF(C10&gt;=$M$9,1,0)</f>
        <v>0</v>
      </c>
      <c r="F10" s="3" t="n">
        <f aca="false">IF(LEFT(B10,5)="Abuse",1,0)</f>
        <v>1</v>
      </c>
      <c r="G10" s="3" t="n">
        <f aca="false">IF(B10="Abuse: refund without return",1,0)</f>
        <v>1</v>
      </c>
      <c r="H10" s="3" t="str">
        <f aca="false">IF(E10=1,IF(F10=1,"Correct hold","False alarm"),IF(F10=1,"Missed","Correctly left alone"))</f>
        <v>Missed</v>
      </c>
      <c r="L10" s="3" t="s">
        <v>502</v>
      </c>
      <c r="M10" s="25" t="n">
        <v>30</v>
      </c>
    </row>
    <row r="11" customFormat="false" ht="15" hidden="false" customHeight="false" outlineLevel="0" collapsed="false">
      <c r="A11" s="3" t="str">
        <f aca="false">'Golden Dataset'!A8</f>
        <v>R-08120</v>
      </c>
      <c r="B11" s="3" t="str">
        <f aca="false">'Golden Dataset'!I8</f>
        <v>Honest</v>
      </c>
      <c r="C11" s="3" t="n">
        <f aca="false">MIN(99,$M$5*'Golden Dataset'!E8+$M$6*'Golden Dataset'!F8+IF('Golden Dataset'!G8&lt;30,$M$7,0)+IF('Golden Dataset'!H8="No",$M$8,0))</f>
        <v>12</v>
      </c>
      <c r="D11" s="3" t="str">
        <f aca="false">IF(C11&gt;=$M$9,"Hold and review",IF(C11&gt;=$M$10,"Refund on carrier scan","Approve"))</f>
        <v>Approve</v>
      </c>
      <c r="E11" s="3" t="n">
        <f aca="false">IF(C11&gt;=$M$9,1,0)</f>
        <v>0</v>
      </c>
      <c r="F11" s="3" t="n">
        <f aca="false">IF(LEFT(B11,5)="Abuse",1,0)</f>
        <v>0</v>
      </c>
      <c r="G11" s="3" t="n">
        <f aca="false">IF(B11="Abuse: refund without return",1,0)</f>
        <v>0</v>
      </c>
      <c r="H11" s="3" t="str">
        <f aca="false">IF(E11=1,IF(F11=1,"Correct hold","False alarm"),IF(F11=1,"Missed","Correctly left alone"))</f>
        <v>Correctly left alone</v>
      </c>
      <c r="L11" s="3" t="s">
        <v>503</v>
      </c>
      <c r="M11" s="26" t="n">
        <v>33</v>
      </c>
    </row>
    <row r="12" customFormat="false" ht="15" hidden="false" customHeight="false" outlineLevel="0" collapsed="false">
      <c r="A12" s="3" t="str">
        <f aca="false">'Golden Dataset'!A9</f>
        <v>R-08126</v>
      </c>
      <c r="B12" s="3" t="str">
        <f aca="false">'Golden Dataset'!I9</f>
        <v>Abuse: refund without return</v>
      </c>
      <c r="C12" s="3" t="n">
        <f aca="false">MIN(99,$M$5*'Golden Dataset'!E9+$M$6*'Golden Dataset'!F9+IF('Golden Dataset'!G9&lt;30,$M$7,0)+IF('Golden Dataset'!H9="No",$M$8,0))</f>
        <v>99</v>
      </c>
      <c r="D12" s="3" t="str">
        <f aca="false">IF(C12&gt;=$M$9,"Hold and review",IF(C12&gt;=$M$10,"Refund on carrier scan","Approve"))</f>
        <v>Hold and review</v>
      </c>
      <c r="E12" s="3" t="n">
        <f aca="false">IF(C12&gt;=$M$9,1,0)</f>
        <v>1</v>
      </c>
      <c r="F12" s="3" t="n">
        <f aca="false">IF(LEFT(B12,5)="Abuse",1,0)</f>
        <v>1</v>
      </c>
      <c r="G12" s="3" t="n">
        <f aca="false">IF(B12="Abuse: refund without return",1,0)</f>
        <v>1</v>
      </c>
      <c r="H12" s="3" t="str">
        <f aca="false">IF(E12=1,IF(F12=1,"Correct hold","False alarm"),IF(F12=1,"Missed","Correctly left alone"))</f>
        <v>Correct hold</v>
      </c>
      <c r="L12" s="3" t="s">
        <v>504</v>
      </c>
      <c r="M12" s="27" t="n">
        <v>0.62</v>
      </c>
    </row>
    <row r="13" customFormat="false" ht="15" hidden="false" customHeight="false" outlineLevel="0" collapsed="false">
      <c r="A13" s="3" t="str">
        <f aca="false">'Golden Dataset'!A10</f>
        <v>R-08145</v>
      </c>
      <c r="B13" s="3" t="str">
        <f aca="false">'Golden Dataset'!I10</f>
        <v>Abuse: refund without return</v>
      </c>
      <c r="C13" s="3" t="n">
        <f aca="false">MIN(99,$M$5*'Golden Dataset'!E10+$M$6*'Golden Dataset'!F10+IF('Golden Dataset'!G10&lt;30,$M$7,0)+IF('Golden Dataset'!H10="No",$M$8,0))</f>
        <v>52</v>
      </c>
      <c r="D13" s="3" t="str">
        <f aca="false">IF(C13&gt;=$M$9,"Hold and review",IF(C13&gt;=$M$10,"Refund on carrier scan","Approve"))</f>
        <v>Refund on carrier scan</v>
      </c>
      <c r="E13" s="3" t="n">
        <f aca="false">IF(C13&gt;=$M$9,1,0)</f>
        <v>0</v>
      </c>
      <c r="F13" s="3" t="n">
        <f aca="false">IF(LEFT(B13,5)="Abuse",1,0)</f>
        <v>1</v>
      </c>
      <c r="G13" s="3" t="n">
        <f aca="false">IF(B13="Abuse: refund without return",1,0)</f>
        <v>1</v>
      </c>
      <c r="H13" s="3" t="str">
        <f aca="false">IF(E13=1,IF(F13=1,"Correct hold","False alarm"),IF(F13=1,"Missed","Correctly left alone"))</f>
        <v>Missed</v>
      </c>
      <c r="L13" s="3" t="s">
        <v>505</v>
      </c>
      <c r="M13" s="27" t="n">
        <v>0.9</v>
      </c>
    </row>
    <row r="14" customFormat="false" ht="15" hidden="false" customHeight="false" outlineLevel="0" collapsed="false">
      <c r="A14" s="3" t="str">
        <f aca="false">'Golden Dataset'!A11</f>
        <v>R-08045</v>
      </c>
      <c r="B14" s="3" t="str">
        <f aca="false">'Golden Dataset'!I11</f>
        <v>Honest</v>
      </c>
      <c r="C14" s="3" t="n">
        <f aca="false">MIN(99,$M$5*'Golden Dataset'!E11+$M$6*'Golden Dataset'!F11+IF('Golden Dataset'!G11&lt;30,$M$7,0)+IF('Golden Dataset'!H11="No",$M$8,0))</f>
        <v>0</v>
      </c>
      <c r="D14" s="3" t="str">
        <f aca="false">IF(C14&gt;=$M$9,"Hold and review",IF(C14&gt;=$M$10,"Refund on carrier scan","Approve"))</f>
        <v>Approve</v>
      </c>
      <c r="E14" s="3" t="n">
        <f aca="false">IF(C14&gt;=$M$9,1,0)</f>
        <v>0</v>
      </c>
      <c r="F14" s="3" t="n">
        <f aca="false">IF(LEFT(B14,5)="Abuse",1,0)</f>
        <v>0</v>
      </c>
      <c r="G14" s="3" t="n">
        <f aca="false">IF(B14="Abuse: refund without return",1,0)</f>
        <v>0</v>
      </c>
      <c r="H14" s="3" t="str">
        <f aca="false">IF(E14=1,IF(F14=1,"Correct hold","False alarm"),IF(F14=1,"Missed","Correctly left alone"))</f>
        <v>Correctly left alone</v>
      </c>
      <c r="L14" s="12" t="s">
        <v>506</v>
      </c>
    </row>
    <row r="15" customFormat="false" ht="15" hidden="false" customHeight="false" outlineLevel="0" collapsed="false">
      <c r="A15" s="3" t="str">
        <f aca="false">'Golden Dataset'!A12</f>
        <v>R-08176</v>
      </c>
      <c r="B15" s="3" t="str">
        <f aca="false">'Golden Dataset'!I12</f>
        <v>Honest</v>
      </c>
      <c r="C15" s="3" t="n">
        <f aca="false">MIN(99,$M$5*'Golden Dataset'!E12+$M$6*'Golden Dataset'!F12+IF('Golden Dataset'!G12&lt;30,$M$7,0)+IF('Golden Dataset'!H12="No",$M$8,0))</f>
        <v>0</v>
      </c>
      <c r="D15" s="3" t="str">
        <f aca="false">IF(C15&gt;=$M$9,"Hold and review",IF(C15&gt;=$M$10,"Refund on carrier scan","Approve"))</f>
        <v>Approve</v>
      </c>
      <c r="E15" s="3" t="n">
        <f aca="false">IF(C15&gt;=$M$9,1,0)</f>
        <v>0</v>
      </c>
      <c r="F15" s="3" t="n">
        <f aca="false">IF(LEFT(B15,5)="Abuse",1,0)</f>
        <v>0</v>
      </c>
      <c r="G15" s="3" t="n">
        <f aca="false">IF(B15="Abuse: refund without return",1,0)</f>
        <v>0</v>
      </c>
      <c r="H15" s="3" t="str">
        <f aca="false">IF(E15=1,IF(F15=1,"Correct hold","False alarm"),IF(F15=1,"Missed","Correctly left alone"))</f>
        <v>Correctly left alone</v>
      </c>
    </row>
    <row r="16" customFormat="false" ht="15" hidden="false" customHeight="false" outlineLevel="0" collapsed="false">
      <c r="A16" s="3" t="str">
        <f aca="false">'Golden Dataset'!A13</f>
        <v>R-08069</v>
      </c>
      <c r="B16" s="3" t="str">
        <f aca="false">'Golden Dataset'!I13</f>
        <v>Honest</v>
      </c>
      <c r="C16" s="3" t="n">
        <f aca="false">MIN(99,$M$5*'Golden Dataset'!E13+$M$6*'Golden Dataset'!F13+IF('Golden Dataset'!G13&lt;30,$M$7,0)+IF('Golden Dataset'!H13="No",$M$8,0))</f>
        <v>22</v>
      </c>
      <c r="D16" s="3" t="str">
        <f aca="false">IF(C16&gt;=$M$9,"Hold and review",IF(C16&gt;=$M$10,"Refund on carrier scan","Approve"))</f>
        <v>Approve</v>
      </c>
      <c r="E16" s="3" t="n">
        <f aca="false">IF(C16&gt;=$M$9,1,0)</f>
        <v>0</v>
      </c>
      <c r="F16" s="3" t="n">
        <f aca="false">IF(LEFT(B16,5)="Abuse",1,0)</f>
        <v>0</v>
      </c>
      <c r="G16" s="3" t="n">
        <f aca="false">IF(B16="Abuse: refund without return",1,0)</f>
        <v>0</v>
      </c>
      <c r="H16" s="3" t="str">
        <f aca="false">IF(E16=1,IF(F16=1,"Correct hold","False alarm"),IF(F16=1,"Missed","Correctly left alone"))</f>
        <v>Correctly left alone</v>
      </c>
    </row>
    <row r="17" customFormat="false" ht="15" hidden="false" customHeight="false" outlineLevel="0" collapsed="false">
      <c r="A17" s="3" t="str">
        <f aca="false">'Golden Dataset'!A14</f>
        <v>R-08082</v>
      </c>
      <c r="B17" s="3" t="str">
        <f aca="false">'Golden Dataset'!I14</f>
        <v>Honest</v>
      </c>
      <c r="C17" s="3" t="n">
        <f aca="false">MIN(99,$M$5*'Golden Dataset'!E14+$M$6*'Golden Dataset'!F14+IF('Golden Dataset'!G14&lt;30,$M$7,0)+IF('Golden Dataset'!H14="No",$M$8,0))</f>
        <v>22</v>
      </c>
      <c r="D17" s="3" t="str">
        <f aca="false">IF(C17&gt;=$M$9,"Hold and review",IF(C17&gt;=$M$10,"Refund on carrier scan","Approve"))</f>
        <v>Approve</v>
      </c>
      <c r="E17" s="3" t="n">
        <f aca="false">IF(C17&gt;=$M$9,1,0)</f>
        <v>0</v>
      </c>
      <c r="F17" s="3" t="n">
        <f aca="false">IF(LEFT(B17,5)="Abuse",1,0)</f>
        <v>0</v>
      </c>
      <c r="G17" s="3" t="n">
        <f aca="false">IF(B17="Abuse: refund without return",1,0)</f>
        <v>0</v>
      </c>
      <c r="H17" s="3" t="str">
        <f aca="false">IF(E17=1,IF(F17=1,"Correct hold","False alarm"),IF(F17=1,"Missed","Correctly left alone"))</f>
        <v>Correctly left alone</v>
      </c>
      <c r="L17" s="4" t="s">
        <v>507</v>
      </c>
    </row>
    <row r="18" customFormat="false" ht="15" hidden="false" customHeight="false" outlineLevel="0" collapsed="false">
      <c r="A18" s="3" t="str">
        <f aca="false">'Golden Dataset'!A15</f>
        <v>R-08128</v>
      </c>
      <c r="B18" s="3" t="str">
        <f aca="false">'Golden Dataset'!I15</f>
        <v>Honest</v>
      </c>
      <c r="C18" s="3" t="n">
        <f aca="false">MIN(99,$M$5*'Golden Dataset'!E15+$M$6*'Golden Dataset'!F15+IF('Golden Dataset'!G15&lt;30,$M$7,0)+IF('Golden Dataset'!H15="No",$M$8,0))</f>
        <v>30</v>
      </c>
      <c r="D18" s="3" t="str">
        <f aca="false">IF(C18&gt;=$M$9,"Hold and review",IF(C18&gt;=$M$10,"Refund on carrier scan","Approve"))</f>
        <v>Refund on carrier scan</v>
      </c>
      <c r="E18" s="3" t="n">
        <f aca="false">IF(C18&gt;=$M$9,1,0)</f>
        <v>0</v>
      </c>
      <c r="F18" s="3" t="n">
        <f aca="false">IF(LEFT(B18,5)="Abuse",1,0)</f>
        <v>0</v>
      </c>
      <c r="G18" s="3" t="n">
        <f aca="false">IF(B18="Abuse: refund without return",1,0)</f>
        <v>0</v>
      </c>
      <c r="H18" s="3" t="str">
        <f aca="false">IF(E18=1,IF(F18=1,"Correct hold","False alarm"),IF(F18=1,"Missed","Correctly left alone"))</f>
        <v>Correctly left alone</v>
      </c>
      <c r="L18" s="3" t="s">
        <v>508</v>
      </c>
      <c r="M18" s="28" t="n">
        <f aca="false">SUM($E$5:$E$204)</f>
        <v>30</v>
      </c>
    </row>
    <row r="19" customFormat="false" ht="15" hidden="false" customHeight="false" outlineLevel="0" collapsed="false">
      <c r="A19" s="3" t="str">
        <f aca="false">'Golden Dataset'!A16</f>
        <v>R-08031</v>
      </c>
      <c r="B19" s="3" t="str">
        <f aca="false">'Golden Dataset'!I16</f>
        <v>Honest</v>
      </c>
      <c r="C19" s="3" t="n">
        <f aca="false">MIN(99,$M$5*'Golden Dataset'!E16+$M$6*'Golden Dataset'!F16+IF('Golden Dataset'!G16&lt;30,$M$7,0)+IF('Golden Dataset'!H16="No",$M$8,0))</f>
        <v>0</v>
      </c>
      <c r="D19" s="3" t="str">
        <f aca="false">IF(C19&gt;=$M$9,"Hold and review",IF(C19&gt;=$M$10,"Refund on carrier scan","Approve"))</f>
        <v>Approve</v>
      </c>
      <c r="E19" s="3" t="n">
        <f aca="false">IF(C19&gt;=$M$9,1,0)</f>
        <v>0</v>
      </c>
      <c r="F19" s="3" t="n">
        <f aca="false">IF(LEFT(B19,5)="Abuse",1,0)</f>
        <v>0</v>
      </c>
      <c r="G19" s="3" t="n">
        <f aca="false">IF(B19="Abuse: refund without return",1,0)</f>
        <v>0</v>
      </c>
      <c r="H19" s="3" t="str">
        <f aca="false">IF(E19=1,IF(F19=1,"Correct hold","False alarm"),IF(F19=1,"Missed","Correctly left alone"))</f>
        <v>Correctly left alone</v>
      </c>
      <c r="L19" s="3" t="s">
        <v>509</v>
      </c>
      <c r="M19" s="28" t="n">
        <f aca="false">SUMPRODUCT($E$5:$E$204,$F$5:$F$204)</f>
        <v>29</v>
      </c>
    </row>
    <row r="20" customFormat="false" ht="15" hidden="false" customHeight="false" outlineLevel="0" collapsed="false">
      <c r="A20" s="3" t="str">
        <f aca="false">'Golden Dataset'!A17</f>
        <v>R-08169</v>
      </c>
      <c r="B20" s="3" t="str">
        <f aca="false">'Golden Dataset'!I17</f>
        <v>Honest</v>
      </c>
      <c r="C20" s="3" t="n">
        <f aca="false">MIN(99,$M$5*'Golden Dataset'!E17+$M$6*'Golden Dataset'!F17+IF('Golden Dataset'!G17&lt;30,$M$7,0)+IF('Golden Dataset'!H17="No",$M$8,0))</f>
        <v>0</v>
      </c>
      <c r="D20" s="3" t="str">
        <f aca="false">IF(C20&gt;=$M$9,"Hold and review",IF(C20&gt;=$M$10,"Refund on carrier scan","Approve"))</f>
        <v>Approve</v>
      </c>
      <c r="E20" s="3" t="n">
        <f aca="false">IF(C20&gt;=$M$9,1,0)</f>
        <v>0</v>
      </c>
      <c r="F20" s="3" t="n">
        <f aca="false">IF(LEFT(B20,5)="Abuse",1,0)</f>
        <v>0</v>
      </c>
      <c r="G20" s="3" t="n">
        <f aca="false">IF(B20="Abuse: refund without return",1,0)</f>
        <v>0</v>
      </c>
      <c r="H20" s="3" t="str">
        <f aca="false">IF(E20=1,IF(F20=1,"Correct hold","False alarm"),IF(F20=1,"Missed","Correctly left alone"))</f>
        <v>Correctly left alone</v>
      </c>
      <c r="L20" s="3" t="s">
        <v>510</v>
      </c>
      <c r="M20" s="28" t="n">
        <f aca="false">COUNTIF($H$5:$H$204,"False alarm")</f>
        <v>1</v>
      </c>
    </row>
    <row r="21" customFormat="false" ht="15" hidden="false" customHeight="false" outlineLevel="0" collapsed="false">
      <c r="A21" s="3" t="str">
        <f aca="false">'Golden Dataset'!A18</f>
        <v>R-08143</v>
      </c>
      <c r="B21" s="3" t="str">
        <f aca="false">'Golden Dataset'!I18</f>
        <v>Abuse: repeated damage claims</v>
      </c>
      <c r="C21" s="3" t="n">
        <f aca="false">MIN(99,$M$5*'Golden Dataset'!E18+$M$6*'Golden Dataset'!F18+IF('Golden Dataset'!G18&lt;30,$M$7,0)+IF('Golden Dataset'!H18="No",$M$8,0))</f>
        <v>8</v>
      </c>
      <c r="D21" s="3" t="str">
        <f aca="false">IF(C21&gt;=$M$9,"Hold and review",IF(C21&gt;=$M$10,"Refund on carrier scan","Approve"))</f>
        <v>Approve</v>
      </c>
      <c r="E21" s="3" t="n">
        <f aca="false">IF(C21&gt;=$M$9,1,0)</f>
        <v>0</v>
      </c>
      <c r="F21" s="3" t="n">
        <f aca="false">IF(LEFT(B21,5)="Abuse",1,0)</f>
        <v>1</v>
      </c>
      <c r="G21" s="3" t="n">
        <f aca="false">IF(B21="Abuse: refund without return",1,0)</f>
        <v>0</v>
      </c>
      <c r="H21" s="3" t="str">
        <f aca="false">IF(E21=1,IF(F21=1,"Correct hold","False alarm"),IF(F21=1,"Missed","Correctly left alone"))</f>
        <v>Missed</v>
      </c>
      <c r="L21" s="3" t="s">
        <v>511</v>
      </c>
      <c r="M21" s="21" t="n">
        <f aca="false">IFERROR(M19/M18,0)</f>
        <v>0.966666666666667</v>
      </c>
    </row>
    <row r="22" customFormat="false" ht="15" hidden="false" customHeight="false" outlineLevel="0" collapsed="false">
      <c r="A22" s="3" t="str">
        <f aca="false">'Golden Dataset'!A19</f>
        <v>R-08063</v>
      </c>
      <c r="B22" s="3" t="str">
        <f aca="false">'Golden Dataset'!I19</f>
        <v>Abuse: wear and return</v>
      </c>
      <c r="C22" s="3" t="n">
        <f aca="false">MIN(99,$M$5*'Golden Dataset'!E19+$M$6*'Golden Dataset'!F19+IF('Golden Dataset'!G19&lt;30,$M$7,0)+IF('Golden Dataset'!H19="No",$M$8,0))</f>
        <v>0</v>
      </c>
      <c r="D22" s="3" t="str">
        <f aca="false">IF(C22&gt;=$M$9,"Hold and review",IF(C22&gt;=$M$10,"Refund on carrier scan","Approve"))</f>
        <v>Approve</v>
      </c>
      <c r="E22" s="3" t="n">
        <f aca="false">IF(C22&gt;=$M$9,1,0)</f>
        <v>0</v>
      </c>
      <c r="F22" s="3" t="n">
        <f aca="false">IF(LEFT(B22,5)="Abuse",1,0)</f>
        <v>1</v>
      </c>
      <c r="G22" s="3" t="n">
        <f aca="false">IF(B22="Abuse: refund without return",1,0)</f>
        <v>0</v>
      </c>
      <c r="H22" s="3" t="str">
        <f aca="false">IF(E22=1,IF(F22=1,"Correct hold","False alarm"),IF(F22=1,"Missed","Correctly left alone"))</f>
        <v>Missed</v>
      </c>
      <c r="L22" s="3" t="s">
        <v>512</v>
      </c>
      <c r="M22" s="21" t="n">
        <f aca="false">IFERROR(SUMPRODUCT($E$5:$E$204,$G$5:$G$204)/SUM($G$5:$G$204),0)</f>
        <v>0.689655172413793</v>
      </c>
    </row>
    <row r="23" customFormat="false" ht="15" hidden="false" customHeight="false" outlineLevel="0" collapsed="false">
      <c r="A23" s="3" t="str">
        <f aca="false">'Golden Dataset'!A20</f>
        <v>R-08061</v>
      </c>
      <c r="B23" s="3" t="str">
        <f aca="false">'Golden Dataset'!I20</f>
        <v>Honest</v>
      </c>
      <c r="C23" s="3" t="n">
        <f aca="false">MIN(99,$M$5*'Golden Dataset'!E20+$M$6*'Golden Dataset'!F20+IF('Golden Dataset'!G20&lt;30,$M$7,0)+IF('Golden Dataset'!H20="No",$M$8,0))</f>
        <v>0</v>
      </c>
      <c r="D23" s="3" t="str">
        <f aca="false">IF(C23&gt;=$M$9,"Hold and review",IF(C23&gt;=$M$10,"Refund on carrier scan","Approve"))</f>
        <v>Approve</v>
      </c>
      <c r="E23" s="3" t="n">
        <f aca="false">IF(C23&gt;=$M$9,1,0)</f>
        <v>0</v>
      </c>
      <c r="F23" s="3" t="n">
        <f aca="false">IF(LEFT(B23,5)="Abuse",1,0)</f>
        <v>0</v>
      </c>
      <c r="G23" s="3" t="n">
        <f aca="false">IF(B23="Abuse: refund without return",1,0)</f>
        <v>0</v>
      </c>
      <c r="H23" s="3" t="str">
        <f aca="false">IF(E23=1,IF(F23=1,"Correct hold","False alarm"),IF(F23=1,"Missed","Correctly left alone"))</f>
        <v>Correctly left alone</v>
      </c>
      <c r="L23" s="3" t="s">
        <v>513</v>
      </c>
      <c r="M23" s="29" t="n">
        <f aca="false">$M$11*$M$12*M22</f>
        <v>14.1103448275862</v>
      </c>
    </row>
    <row r="24" customFormat="false" ht="15" hidden="false" customHeight="false" outlineLevel="0" collapsed="false">
      <c r="A24" s="3" t="str">
        <f aca="false">'Golden Dataset'!A21</f>
        <v>R-08060</v>
      </c>
      <c r="B24" s="3" t="str">
        <f aca="false">'Golden Dataset'!I21</f>
        <v>Honest</v>
      </c>
      <c r="C24" s="3" t="n">
        <f aca="false">MIN(99,$M$5*'Golden Dataset'!E21+$M$6*'Golden Dataset'!F21+IF('Golden Dataset'!G21&lt;30,$M$7,0)+IF('Golden Dataset'!H21="No",$M$8,0))</f>
        <v>0</v>
      </c>
      <c r="D24" s="3" t="str">
        <f aca="false">IF(C24&gt;=$M$9,"Hold and review",IF(C24&gt;=$M$10,"Refund on carrier scan","Approve"))</f>
        <v>Approve</v>
      </c>
      <c r="E24" s="3" t="n">
        <f aca="false">IF(C24&gt;=$M$9,1,0)</f>
        <v>0</v>
      </c>
      <c r="F24" s="3" t="n">
        <f aca="false">IF(LEFT(B24,5)="Abuse",1,0)</f>
        <v>0</v>
      </c>
      <c r="G24" s="3" t="n">
        <f aca="false">IF(B24="Abuse: refund without return",1,0)</f>
        <v>0</v>
      </c>
      <c r="H24" s="3" t="str">
        <f aca="false">IF(E24=1,IF(F24=1,"Correct hold","False alarm"),IF(F24=1,"Missed","Correctly left alone"))</f>
        <v>Correctly left alone</v>
      </c>
      <c r="L24" s="3" t="s">
        <v>514</v>
      </c>
      <c r="M24" s="30" t="str">
        <f aca="false">IF(M21&gt;=$M$13,"Yes","No")</f>
        <v>Yes</v>
      </c>
    </row>
    <row r="25" customFormat="false" ht="15" hidden="false" customHeight="false" outlineLevel="0" collapsed="false">
      <c r="A25" s="3" t="str">
        <f aca="false">'Golden Dataset'!A22</f>
        <v>R-08083</v>
      </c>
      <c r="B25" s="3" t="str">
        <f aca="false">'Golden Dataset'!I22</f>
        <v>Honest</v>
      </c>
      <c r="C25" s="3" t="n">
        <f aca="false">MIN(99,$M$5*'Golden Dataset'!E22+$M$6*'Golden Dataset'!F22+IF('Golden Dataset'!G22&lt;30,$M$7,0)+IF('Golden Dataset'!H22="No",$M$8,0))</f>
        <v>0</v>
      </c>
      <c r="D25" s="3" t="str">
        <f aca="false">IF(C25&gt;=$M$9,"Hold and review",IF(C25&gt;=$M$10,"Refund on carrier scan","Approve"))</f>
        <v>Approve</v>
      </c>
      <c r="E25" s="3" t="n">
        <f aca="false">IF(C25&gt;=$M$9,1,0)</f>
        <v>0</v>
      </c>
      <c r="F25" s="3" t="n">
        <f aca="false">IF(LEFT(B25,5)="Abuse",1,0)</f>
        <v>0</v>
      </c>
      <c r="G25" s="3" t="n">
        <f aca="false">IF(B25="Abuse: refund without return",1,0)</f>
        <v>0</v>
      </c>
      <c r="H25" s="3" t="str">
        <f aca="false">IF(E25=1,IF(F25=1,"Correct hold","False alarm"),IF(F25=1,"Missed","Correctly left alone"))</f>
        <v>Correctly left alone</v>
      </c>
    </row>
    <row r="26" customFormat="false" ht="15" hidden="false" customHeight="false" outlineLevel="0" collapsed="false">
      <c r="A26" s="3" t="str">
        <f aca="false">'Golden Dataset'!A23</f>
        <v>R-08084</v>
      </c>
      <c r="B26" s="3" t="str">
        <f aca="false">'Golden Dataset'!I23</f>
        <v>Honest</v>
      </c>
      <c r="C26" s="3" t="n">
        <f aca="false">MIN(99,$M$5*'Golden Dataset'!E23+$M$6*'Golden Dataset'!F23+IF('Golden Dataset'!G23&lt;30,$M$7,0)+IF('Golden Dataset'!H23="No",$M$8,0))</f>
        <v>22</v>
      </c>
      <c r="D26" s="3" t="str">
        <f aca="false">IF(C26&gt;=$M$9,"Hold and review",IF(C26&gt;=$M$10,"Refund on carrier scan","Approve"))</f>
        <v>Approve</v>
      </c>
      <c r="E26" s="3" t="n">
        <f aca="false">IF(C26&gt;=$M$9,1,0)</f>
        <v>0</v>
      </c>
      <c r="F26" s="3" t="n">
        <f aca="false">IF(LEFT(B26,5)="Abuse",1,0)</f>
        <v>0</v>
      </c>
      <c r="G26" s="3" t="n">
        <f aca="false">IF(B26="Abuse: refund without return",1,0)</f>
        <v>0</v>
      </c>
      <c r="H26" s="3" t="str">
        <f aca="false">IF(E26=1,IF(F26=1,"Correct hold","False alarm"),IF(F26=1,"Missed","Correctly left alone"))</f>
        <v>Correctly left alone</v>
      </c>
    </row>
    <row r="27" customFormat="false" ht="15" hidden="false" customHeight="false" outlineLevel="0" collapsed="false">
      <c r="A27" s="3" t="str">
        <f aca="false">'Golden Dataset'!A24</f>
        <v>R-08180</v>
      </c>
      <c r="B27" s="3" t="str">
        <f aca="false">'Golden Dataset'!I24</f>
        <v>Honest</v>
      </c>
      <c r="C27" s="3" t="n">
        <f aca="false">MIN(99,$M$5*'Golden Dataset'!E24+$M$6*'Golden Dataset'!F24+IF('Golden Dataset'!G24&lt;30,$M$7,0)+IF('Golden Dataset'!H24="No",$M$8,0))</f>
        <v>0</v>
      </c>
      <c r="D27" s="3" t="str">
        <f aca="false">IF(C27&gt;=$M$9,"Hold and review",IF(C27&gt;=$M$10,"Refund on carrier scan","Approve"))</f>
        <v>Approve</v>
      </c>
      <c r="E27" s="3" t="n">
        <f aca="false">IF(C27&gt;=$M$9,1,0)</f>
        <v>0</v>
      </c>
      <c r="F27" s="3" t="n">
        <f aca="false">IF(LEFT(B27,5)="Abuse",1,0)</f>
        <v>0</v>
      </c>
      <c r="G27" s="3" t="n">
        <f aca="false">IF(B27="Abuse: refund without return",1,0)</f>
        <v>0</v>
      </c>
      <c r="H27" s="3" t="str">
        <f aca="false">IF(E27=1,IF(F27=1,"Correct hold","False alarm"),IF(F27=1,"Missed","Correctly left alone"))</f>
        <v>Correctly left alone</v>
      </c>
      <c r="L27" s="4" t="s">
        <v>515</v>
      </c>
    </row>
    <row r="28" customFormat="false" ht="15" hidden="false" customHeight="false" outlineLevel="0" collapsed="false">
      <c r="A28" s="3" t="str">
        <f aca="false">'Golden Dataset'!A25</f>
        <v>R-08103</v>
      </c>
      <c r="B28" s="3" t="str">
        <f aca="false">'Golden Dataset'!I25</f>
        <v>Honest</v>
      </c>
      <c r="C28" s="3" t="n">
        <f aca="false">MIN(99,$M$5*'Golden Dataset'!E25+$M$6*'Golden Dataset'!F25+IF('Golden Dataset'!G25&lt;30,$M$7,0)+IF('Golden Dataset'!H25="No",$M$8,0))</f>
        <v>0</v>
      </c>
      <c r="D28" s="3" t="str">
        <f aca="false">IF(C28&gt;=$M$9,"Hold and review",IF(C28&gt;=$M$10,"Refund on carrier scan","Approve"))</f>
        <v>Approve</v>
      </c>
      <c r="E28" s="3" t="n">
        <f aca="false">IF(C28&gt;=$M$9,1,0)</f>
        <v>0</v>
      </c>
      <c r="F28" s="3" t="n">
        <f aca="false">IF(LEFT(B28,5)="Abuse",1,0)</f>
        <v>0</v>
      </c>
      <c r="G28" s="3" t="n">
        <f aca="false">IF(B28="Abuse: refund without return",1,0)</f>
        <v>0</v>
      </c>
      <c r="H28" s="3" t="str">
        <f aca="false">IF(E28=1,IF(F28=1,"Correct hold","False alarm"),IF(F28=1,"Missed","Correctly left alone"))</f>
        <v>Correctly left alone</v>
      </c>
      <c r="L28" s="13" t="s">
        <v>516</v>
      </c>
      <c r="M28" s="13" t="s">
        <v>517</v>
      </c>
      <c r="N28" s="13" t="s">
        <v>518</v>
      </c>
      <c r="O28" s="13" t="s">
        <v>519</v>
      </c>
      <c r="P28" s="13" t="s">
        <v>520</v>
      </c>
      <c r="Q28" s="13" t="s">
        <v>521</v>
      </c>
      <c r="R28" s="13" t="s">
        <v>522</v>
      </c>
      <c r="S28" s="13" t="s">
        <v>523</v>
      </c>
    </row>
    <row r="29" customFormat="false" ht="15" hidden="false" customHeight="false" outlineLevel="0" collapsed="false">
      <c r="A29" s="3" t="str">
        <f aca="false">'Golden Dataset'!A26</f>
        <v>R-08066</v>
      </c>
      <c r="B29" s="3" t="str">
        <f aca="false">'Golden Dataset'!I26</f>
        <v>Honest</v>
      </c>
      <c r="C29" s="3" t="n">
        <f aca="false">MIN(99,$M$5*'Golden Dataset'!E26+$M$6*'Golden Dataset'!F26+IF('Golden Dataset'!G26&lt;30,$M$7,0)+IF('Golden Dataset'!H26="No",$M$8,0))</f>
        <v>0</v>
      </c>
      <c r="D29" s="3" t="str">
        <f aca="false">IF(C29&gt;=$M$9,"Hold and review",IF(C29&gt;=$M$10,"Refund on carrier scan","Approve"))</f>
        <v>Approve</v>
      </c>
      <c r="E29" s="3" t="n">
        <f aca="false">IF(C29&gt;=$M$9,1,0)</f>
        <v>0</v>
      </c>
      <c r="F29" s="3" t="n">
        <f aca="false">IF(LEFT(B29,5)="Abuse",1,0)</f>
        <v>0</v>
      </c>
      <c r="G29" s="3" t="n">
        <f aca="false">IF(B29="Abuse: refund without return",1,0)</f>
        <v>0</v>
      </c>
      <c r="H29" s="3" t="str">
        <f aca="false">IF(E29=1,IF(F29=1,"Correct hold","False alarm"),IF(F29=1,"Missed","Correctly left alone"))</f>
        <v>Correctly left alone</v>
      </c>
      <c r="L29" s="31" t="n">
        <v>30</v>
      </c>
      <c r="M29" s="3" t="n">
        <f aca="false">COUNTIF($C$5:$C$204,"&gt;="&amp;L29)</f>
        <v>59</v>
      </c>
      <c r="N29" s="3" t="n">
        <f aca="false">COUNTIFS($C$5:$C$204,"&gt;="&amp;L29,$F$5:$F$204,1)</f>
        <v>43</v>
      </c>
      <c r="O29" s="15" t="n">
        <f aca="false">IFERROR(N29/M29,0)</f>
        <v>0.728813559322034</v>
      </c>
      <c r="P29" s="3" t="n">
        <f aca="false">COUNTIFS($C$5:$C$204,"&gt;="&amp;L29,$G$5:$G$204,1)</f>
        <v>29</v>
      </c>
      <c r="Q29" s="15" t="n">
        <f aca="false">IFERROR(P29/SUM($G$5:$G$204),0)</f>
        <v>1</v>
      </c>
      <c r="R29" s="32" t="n">
        <f aca="false">$M$11*$M$12*Q29</f>
        <v>20.46</v>
      </c>
      <c r="S29" s="3" t="str">
        <f aca="false">IF(O29&gt;=$M$13,"Pass","Fail")</f>
        <v>Fail</v>
      </c>
    </row>
    <row r="30" customFormat="false" ht="15" hidden="false" customHeight="false" outlineLevel="0" collapsed="false">
      <c r="A30" s="3" t="str">
        <f aca="false">'Golden Dataset'!A27</f>
        <v>R-08073</v>
      </c>
      <c r="B30" s="3" t="str">
        <f aca="false">'Golden Dataset'!I27</f>
        <v>Abuse: refund without return</v>
      </c>
      <c r="C30" s="3" t="n">
        <f aca="false">MIN(99,$M$5*'Golden Dataset'!E27+$M$6*'Golden Dataset'!F27+IF('Golden Dataset'!G27&lt;30,$M$7,0)+IF('Golden Dataset'!H27="No",$M$8,0))</f>
        <v>86</v>
      </c>
      <c r="D30" s="3" t="str">
        <f aca="false">IF(C30&gt;=$M$9,"Hold and review",IF(C30&gt;=$M$10,"Refund on carrier scan","Approve"))</f>
        <v>Hold and review</v>
      </c>
      <c r="E30" s="3" t="n">
        <f aca="false">IF(C30&gt;=$M$9,1,0)</f>
        <v>1</v>
      </c>
      <c r="F30" s="3" t="n">
        <f aca="false">IF(LEFT(B30,5)="Abuse",1,0)</f>
        <v>1</v>
      </c>
      <c r="G30" s="3" t="n">
        <f aca="false">IF(B30="Abuse: refund without return",1,0)</f>
        <v>1</v>
      </c>
      <c r="H30" s="3" t="str">
        <f aca="false">IF(E30=1,IF(F30=1,"Correct hold","False alarm"),IF(F30=1,"Missed","Correctly left alone"))</f>
        <v>Correct hold</v>
      </c>
      <c r="L30" s="31" t="n">
        <v>40</v>
      </c>
      <c r="M30" s="3" t="n">
        <f aca="false">COUNTIF($C$5:$C$204,"&gt;="&amp;L30)</f>
        <v>43</v>
      </c>
      <c r="N30" s="3" t="n">
        <f aca="false">COUNTIFS($C$5:$C$204,"&gt;="&amp;L30,$F$5:$F$204,1)</f>
        <v>35</v>
      </c>
      <c r="O30" s="15" t="n">
        <f aca="false">IFERROR(N30/M30,0)</f>
        <v>0.813953488372093</v>
      </c>
      <c r="P30" s="3" t="n">
        <f aca="false">COUNTIFS($C$5:$C$204,"&gt;="&amp;L30,$G$5:$G$204,1)</f>
        <v>26</v>
      </c>
      <c r="Q30" s="15" t="n">
        <f aca="false">IFERROR(P30/SUM($G$5:$G$204),0)</f>
        <v>0.896551724137931</v>
      </c>
      <c r="R30" s="32" t="n">
        <f aca="false">$M$11*$M$12*Q30</f>
        <v>18.3434482758621</v>
      </c>
      <c r="S30" s="3" t="str">
        <f aca="false">IF(O30&gt;=$M$13,"Pass","Fail")</f>
        <v>Fail</v>
      </c>
    </row>
    <row r="31" customFormat="false" ht="15" hidden="false" customHeight="false" outlineLevel="0" collapsed="false">
      <c r="A31" s="3" t="str">
        <f aca="false">'Golden Dataset'!A28</f>
        <v>R-08104</v>
      </c>
      <c r="B31" s="3" t="str">
        <f aca="false">'Golden Dataset'!I28</f>
        <v>Abuse: wear and return</v>
      </c>
      <c r="C31" s="3" t="n">
        <f aca="false">MIN(99,$M$5*'Golden Dataset'!E28+$M$6*'Golden Dataset'!F28+IF('Golden Dataset'!G28&lt;30,$M$7,0)+IF('Golden Dataset'!H28="No",$M$8,0))</f>
        <v>0</v>
      </c>
      <c r="D31" s="3" t="str">
        <f aca="false">IF(C31&gt;=$M$9,"Hold and review",IF(C31&gt;=$M$10,"Refund on carrier scan","Approve"))</f>
        <v>Approve</v>
      </c>
      <c r="E31" s="3" t="n">
        <f aca="false">IF(C31&gt;=$M$9,1,0)</f>
        <v>0</v>
      </c>
      <c r="F31" s="3" t="n">
        <f aca="false">IF(LEFT(B31,5)="Abuse",1,0)</f>
        <v>1</v>
      </c>
      <c r="G31" s="3" t="n">
        <f aca="false">IF(B31="Abuse: refund without return",1,0)</f>
        <v>0</v>
      </c>
      <c r="H31" s="3" t="str">
        <f aca="false">IF(E31=1,IF(F31=1,"Correct hold","False alarm"),IF(F31=1,"Missed","Correctly left alone"))</f>
        <v>Missed</v>
      </c>
      <c r="L31" s="31" t="n">
        <v>50</v>
      </c>
      <c r="M31" s="3" t="n">
        <f aca="false">COUNTIF($C$5:$C$204,"&gt;="&amp;L31)</f>
        <v>39</v>
      </c>
      <c r="N31" s="3" t="n">
        <f aca="false">COUNTIFS($C$5:$C$204,"&gt;="&amp;L31,$F$5:$F$204,1)</f>
        <v>33</v>
      </c>
      <c r="O31" s="15" t="n">
        <f aca="false">IFERROR(N31/M31,0)</f>
        <v>0.846153846153846</v>
      </c>
      <c r="P31" s="3" t="n">
        <f aca="false">COUNTIFS($C$5:$C$204,"&gt;="&amp;L31,$G$5:$G$204,1)</f>
        <v>24</v>
      </c>
      <c r="Q31" s="15" t="n">
        <f aca="false">IFERROR(P31/SUM($G$5:$G$204),0)</f>
        <v>0.827586206896552</v>
      </c>
      <c r="R31" s="32" t="n">
        <f aca="false">$M$11*$M$12*Q31</f>
        <v>16.9324137931035</v>
      </c>
      <c r="S31" s="3" t="str">
        <f aca="false">IF(O31&gt;=$M$13,"Pass","Fail")</f>
        <v>Fail</v>
      </c>
    </row>
    <row r="32" customFormat="false" ht="15" hidden="false" customHeight="false" outlineLevel="0" collapsed="false">
      <c r="A32" s="3" t="str">
        <f aca="false">'Golden Dataset'!A29</f>
        <v>R-08076</v>
      </c>
      <c r="B32" s="3" t="str">
        <f aca="false">'Golden Dataset'!I29</f>
        <v>Abuse: repeated damage claims</v>
      </c>
      <c r="C32" s="3" t="n">
        <f aca="false">MIN(99,$M$5*'Golden Dataset'!E29+$M$6*'Golden Dataset'!F29+IF('Golden Dataset'!G29&lt;30,$M$7,0)+IF('Golden Dataset'!H29="No",$M$8,0))</f>
        <v>8</v>
      </c>
      <c r="D32" s="3" t="str">
        <f aca="false">IF(C32&gt;=$M$9,"Hold and review",IF(C32&gt;=$M$10,"Refund on carrier scan","Approve"))</f>
        <v>Approve</v>
      </c>
      <c r="E32" s="3" t="n">
        <f aca="false">IF(C32&gt;=$M$9,1,0)</f>
        <v>0</v>
      </c>
      <c r="F32" s="3" t="n">
        <f aca="false">IF(LEFT(B32,5)="Abuse",1,0)</f>
        <v>1</v>
      </c>
      <c r="G32" s="3" t="n">
        <f aca="false">IF(B32="Abuse: refund without return",1,0)</f>
        <v>0</v>
      </c>
      <c r="H32" s="3" t="str">
        <f aca="false">IF(E32=1,IF(F32=1,"Correct hold","False alarm"),IF(F32=1,"Missed","Correctly left alone"))</f>
        <v>Missed</v>
      </c>
      <c r="L32" s="31" t="n">
        <v>60</v>
      </c>
      <c r="M32" s="3" t="n">
        <f aca="false">COUNTIF($C$5:$C$204,"&gt;="&amp;L32)</f>
        <v>30</v>
      </c>
      <c r="N32" s="3" t="n">
        <f aca="false">COUNTIFS($C$5:$C$204,"&gt;="&amp;L32,$F$5:$F$204,1)</f>
        <v>29</v>
      </c>
      <c r="O32" s="15" t="n">
        <f aca="false">IFERROR(N32/M32,0)</f>
        <v>0.966666666666667</v>
      </c>
      <c r="P32" s="3" t="n">
        <f aca="false">COUNTIFS($C$5:$C$204,"&gt;="&amp;L32,$G$5:$G$204,1)</f>
        <v>20</v>
      </c>
      <c r="Q32" s="15" t="n">
        <f aca="false">IFERROR(P32/SUM($G$5:$G$204),0)</f>
        <v>0.689655172413793</v>
      </c>
      <c r="R32" s="32" t="n">
        <f aca="false">$M$11*$M$12*Q32</f>
        <v>14.1103448275862</v>
      </c>
      <c r="S32" s="3" t="str">
        <f aca="false">IF(O32&gt;=$M$13,"Pass","Fail")</f>
        <v>Pass</v>
      </c>
    </row>
    <row r="33" customFormat="false" ht="15" hidden="false" customHeight="false" outlineLevel="0" collapsed="false">
      <c r="A33" s="3" t="str">
        <f aca="false">'Golden Dataset'!A30</f>
        <v>R-08149</v>
      </c>
      <c r="B33" s="3" t="str">
        <f aca="false">'Golden Dataset'!I30</f>
        <v>Honest</v>
      </c>
      <c r="C33" s="3" t="n">
        <f aca="false">MIN(99,$M$5*'Golden Dataset'!E30+$M$6*'Golden Dataset'!F30+IF('Golden Dataset'!G30&lt;30,$M$7,0)+IF('Golden Dataset'!H30="No",$M$8,0))</f>
        <v>0</v>
      </c>
      <c r="D33" s="3" t="str">
        <f aca="false">IF(C33&gt;=$M$9,"Hold and review",IF(C33&gt;=$M$10,"Refund on carrier scan","Approve"))</f>
        <v>Approve</v>
      </c>
      <c r="E33" s="3" t="n">
        <f aca="false">IF(C33&gt;=$M$9,1,0)</f>
        <v>0</v>
      </c>
      <c r="F33" s="3" t="n">
        <f aca="false">IF(LEFT(B33,5)="Abuse",1,0)</f>
        <v>0</v>
      </c>
      <c r="G33" s="3" t="n">
        <f aca="false">IF(B33="Abuse: refund without return",1,0)</f>
        <v>0</v>
      </c>
      <c r="H33" s="3" t="str">
        <f aca="false">IF(E33=1,IF(F33=1,"Correct hold","False alarm"),IF(F33=1,"Missed","Correctly left alone"))</f>
        <v>Correctly left alone</v>
      </c>
      <c r="L33" s="31" t="n">
        <v>70</v>
      </c>
      <c r="M33" s="3" t="n">
        <f aca="false">COUNTIF($C$5:$C$204,"&gt;="&amp;L33)</f>
        <v>23</v>
      </c>
      <c r="N33" s="3" t="n">
        <f aca="false">COUNTIFS($C$5:$C$204,"&gt;="&amp;L33,$F$5:$F$204,1)</f>
        <v>23</v>
      </c>
      <c r="O33" s="15" t="n">
        <f aca="false">IFERROR(N33/M33,0)</f>
        <v>1</v>
      </c>
      <c r="P33" s="3" t="n">
        <f aca="false">COUNTIFS($C$5:$C$204,"&gt;="&amp;L33,$G$5:$G$204,1)</f>
        <v>17</v>
      </c>
      <c r="Q33" s="15" t="n">
        <f aca="false">IFERROR(P33/SUM($G$5:$G$204),0)</f>
        <v>0.586206896551724</v>
      </c>
      <c r="R33" s="32" t="n">
        <f aca="false">$M$11*$M$12*Q33</f>
        <v>11.9937931034483</v>
      </c>
      <c r="S33" s="3" t="str">
        <f aca="false">IF(O33&gt;=$M$13,"Pass","Fail")</f>
        <v>Pass</v>
      </c>
    </row>
    <row r="34" customFormat="false" ht="15" hidden="false" customHeight="false" outlineLevel="0" collapsed="false">
      <c r="A34" s="3" t="str">
        <f aca="false">'Golden Dataset'!A31</f>
        <v>R-08105</v>
      </c>
      <c r="B34" s="3" t="str">
        <f aca="false">'Golden Dataset'!I31</f>
        <v>Abuse: refund without return</v>
      </c>
      <c r="C34" s="3" t="n">
        <f aca="false">MIN(99,$M$5*'Golden Dataset'!E31+$M$6*'Golden Dataset'!F31+IF('Golden Dataset'!G31&lt;30,$M$7,0)+IF('Golden Dataset'!H31="No",$M$8,0))</f>
        <v>30</v>
      </c>
      <c r="D34" s="3" t="str">
        <f aca="false">IF(C34&gt;=$M$9,"Hold and review",IF(C34&gt;=$M$10,"Refund on carrier scan","Approve"))</f>
        <v>Refund on carrier scan</v>
      </c>
      <c r="E34" s="3" t="n">
        <f aca="false">IF(C34&gt;=$M$9,1,0)</f>
        <v>0</v>
      </c>
      <c r="F34" s="3" t="n">
        <f aca="false">IF(LEFT(B34,5)="Abuse",1,0)</f>
        <v>1</v>
      </c>
      <c r="G34" s="3" t="n">
        <f aca="false">IF(B34="Abuse: refund without return",1,0)</f>
        <v>1</v>
      </c>
      <c r="H34" s="3" t="str">
        <f aca="false">IF(E34=1,IF(F34=1,"Correct hold","False alarm"),IF(F34=1,"Missed","Correctly left alone"))</f>
        <v>Missed</v>
      </c>
      <c r="L34" s="31" t="n">
        <v>80</v>
      </c>
      <c r="M34" s="3" t="n">
        <f aca="false">COUNTIF($C$5:$C$204,"&gt;="&amp;L34)</f>
        <v>18</v>
      </c>
      <c r="N34" s="3" t="n">
        <f aca="false">COUNTIFS($C$5:$C$204,"&gt;="&amp;L34,$F$5:$F$204,1)</f>
        <v>18</v>
      </c>
      <c r="O34" s="15" t="n">
        <f aca="false">IFERROR(N34/M34,0)</f>
        <v>1</v>
      </c>
      <c r="P34" s="3" t="n">
        <f aca="false">COUNTIFS($C$5:$C$204,"&gt;="&amp;L34,$G$5:$G$204,1)</f>
        <v>12</v>
      </c>
      <c r="Q34" s="15" t="n">
        <f aca="false">IFERROR(P34/SUM($G$5:$G$204),0)</f>
        <v>0.413793103448276</v>
      </c>
      <c r="R34" s="32" t="n">
        <f aca="false">$M$11*$M$12*Q34</f>
        <v>8.46620689655173</v>
      </c>
      <c r="S34" s="3" t="str">
        <f aca="false">IF(O34&gt;=$M$13,"Pass","Fail")</f>
        <v>Pass</v>
      </c>
    </row>
    <row r="35" customFormat="false" ht="15" hidden="false" customHeight="false" outlineLevel="0" collapsed="false">
      <c r="A35" s="3" t="str">
        <f aca="false">'Golden Dataset'!A32</f>
        <v>R-08036</v>
      </c>
      <c r="B35" s="3" t="str">
        <f aca="false">'Golden Dataset'!I32</f>
        <v>Honest</v>
      </c>
      <c r="C35" s="3" t="n">
        <f aca="false">MIN(99,$M$5*'Golden Dataset'!E32+$M$6*'Golden Dataset'!F32+IF('Golden Dataset'!G32&lt;30,$M$7,0)+IF('Golden Dataset'!H32="No",$M$8,0))</f>
        <v>0</v>
      </c>
      <c r="D35" s="3" t="str">
        <f aca="false">IF(C35&gt;=$M$9,"Hold and review",IF(C35&gt;=$M$10,"Refund on carrier scan","Approve"))</f>
        <v>Approve</v>
      </c>
      <c r="E35" s="3" t="n">
        <f aca="false">IF(C35&gt;=$M$9,1,0)</f>
        <v>0</v>
      </c>
      <c r="F35" s="3" t="n">
        <f aca="false">IF(LEFT(B35,5)="Abuse",1,0)</f>
        <v>0</v>
      </c>
      <c r="G35" s="3" t="n">
        <f aca="false">IF(B35="Abuse: refund without return",1,0)</f>
        <v>0</v>
      </c>
      <c r="H35" s="3" t="str">
        <f aca="false">IF(E35=1,IF(F35=1,"Correct hold","False alarm"),IF(F35=1,"Missed","Correctly left alone"))</f>
        <v>Correctly left alone</v>
      </c>
      <c r="L35" s="31" t="n">
        <v>90</v>
      </c>
      <c r="M35" s="3" t="n">
        <f aca="false">COUNTIF($C$5:$C$204,"&gt;="&amp;L35)</f>
        <v>15</v>
      </c>
      <c r="N35" s="3" t="n">
        <f aca="false">COUNTIFS($C$5:$C$204,"&gt;="&amp;L35,$F$5:$F$204,1)</f>
        <v>15</v>
      </c>
      <c r="O35" s="15" t="n">
        <f aca="false">IFERROR(N35/M35,0)</f>
        <v>1</v>
      </c>
      <c r="P35" s="3" t="n">
        <f aca="false">COUNTIFS($C$5:$C$204,"&gt;="&amp;L35,$G$5:$G$204,1)</f>
        <v>9</v>
      </c>
      <c r="Q35" s="15" t="n">
        <f aca="false">IFERROR(P35/SUM($G$5:$G$204),0)</f>
        <v>0.310344827586207</v>
      </c>
      <c r="R35" s="32" t="n">
        <f aca="false">$M$11*$M$12*Q35</f>
        <v>6.34965517241379</v>
      </c>
      <c r="S35" s="3" t="str">
        <f aca="false">IF(O35&gt;=$M$13,"Pass","Fail")</f>
        <v>Pass</v>
      </c>
    </row>
    <row r="36" customFormat="false" ht="15" hidden="false" customHeight="false" outlineLevel="0" collapsed="false">
      <c r="A36" s="3" t="str">
        <f aca="false">'Golden Dataset'!A33</f>
        <v>R-08074</v>
      </c>
      <c r="B36" s="3" t="str">
        <f aca="false">'Golden Dataset'!I33</f>
        <v>Honest</v>
      </c>
      <c r="C36" s="3" t="n">
        <f aca="false">MIN(99,$M$5*'Golden Dataset'!E33+$M$6*'Golden Dataset'!F33+IF('Golden Dataset'!G33&lt;30,$M$7,0)+IF('Golden Dataset'!H33="No",$M$8,0))</f>
        <v>0</v>
      </c>
      <c r="D36" s="3" t="str">
        <f aca="false">IF(C36&gt;=$M$9,"Hold and review",IF(C36&gt;=$M$10,"Refund on carrier scan","Approve"))</f>
        <v>Approve</v>
      </c>
      <c r="E36" s="3" t="n">
        <f aca="false">IF(C36&gt;=$M$9,1,0)</f>
        <v>0</v>
      </c>
      <c r="F36" s="3" t="n">
        <f aca="false">IF(LEFT(B36,5)="Abuse",1,0)</f>
        <v>0</v>
      </c>
      <c r="G36" s="3" t="n">
        <f aca="false">IF(B36="Abuse: refund without return",1,0)</f>
        <v>0</v>
      </c>
      <c r="H36" s="3" t="str">
        <f aca="false">IF(E36=1,IF(F36=1,"Correct hold","False alarm"),IF(F36=1,"Missed","Correctly left alone"))</f>
        <v>Correctly left alone</v>
      </c>
    </row>
    <row r="37" customFormat="false" ht="15" hidden="false" customHeight="false" outlineLevel="0" collapsed="false">
      <c r="A37" s="3" t="str">
        <f aca="false">'Golden Dataset'!A34</f>
        <v>R-08023</v>
      </c>
      <c r="B37" s="3" t="str">
        <f aca="false">'Golden Dataset'!I34</f>
        <v>Honest</v>
      </c>
      <c r="C37" s="3" t="n">
        <f aca="false">MIN(99,$M$5*'Golden Dataset'!E34+$M$6*'Golden Dataset'!F34+IF('Golden Dataset'!G34&lt;30,$M$7,0)+IF('Golden Dataset'!H34="No",$M$8,0))</f>
        <v>0</v>
      </c>
      <c r="D37" s="3" t="str">
        <f aca="false">IF(C37&gt;=$M$9,"Hold and review",IF(C37&gt;=$M$10,"Refund on carrier scan","Approve"))</f>
        <v>Approve</v>
      </c>
      <c r="E37" s="3" t="n">
        <f aca="false">IF(C37&gt;=$M$9,1,0)</f>
        <v>0</v>
      </c>
      <c r="F37" s="3" t="n">
        <f aca="false">IF(LEFT(B37,5)="Abuse",1,0)</f>
        <v>0</v>
      </c>
      <c r="G37" s="3" t="n">
        <f aca="false">IF(B37="Abuse: refund without return",1,0)</f>
        <v>0</v>
      </c>
      <c r="H37" s="3" t="str">
        <f aca="false">IF(E37=1,IF(F37=1,"Correct hold","False alarm"),IF(F37=1,"Missed","Correctly left alone"))</f>
        <v>Correctly left alone</v>
      </c>
      <c r="L37" s="12" t="s">
        <v>524</v>
      </c>
    </row>
    <row r="38" customFormat="false" ht="15" hidden="false" customHeight="false" outlineLevel="0" collapsed="false">
      <c r="A38" s="3" t="str">
        <f aca="false">'Golden Dataset'!A35</f>
        <v>R-08151</v>
      </c>
      <c r="B38" s="3" t="str">
        <f aca="false">'Golden Dataset'!I35</f>
        <v>Honest</v>
      </c>
      <c r="C38" s="3" t="n">
        <f aca="false">MIN(99,$M$5*'Golden Dataset'!E35+$M$6*'Golden Dataset'!F35+IF('Golden Dataset'!G35&lt;30,$M$7,0)+IF('Golden Dataset'!H35="No",$M$8,0))</f>
        <v>0</v>
      </c>
      <c r="D38" s="3" t="str">
        <f aca="false">IF(C38&gt;=$M$9,"Hold and review",IF(C38&gt;=$M$10,"Refund on carrier scan","Approve"))</f>
        <v>Approve</v>
      </c>
      <c r="E38" s="3" t="n">
        <f aca="false">IF(C38&gt;=$M$9,1,0)</f>
        <v>0</v>
      </c>
      <c r="F38" s="3" t="n">
        <f aca="false">IF(LEFT(B38,5)="Abuse",1,0)</f>
        <v>0</v>
      </c>
      <c r="G38" s="3" t="n">
        <f aca="false">IF(B38="Abuse: refund without return",1,0)</f>
        <v>0</v>
      </c>
      <c r="H38" s="3" t="str">
        <f aca="false">IF(E38=1,IF(F38=1,"Correct hold","False alarm"),IF(F38=1,"Missed","Correctly left alone"))</f>
        <v>Correctly left alone</v>
      </c>
      <c r="L38" s="12" t="s">
        <v>525</v>
      </c>
    </row>
    <row r="39" customFormat="false" ht="15" hidden="false" customHeight="false" outlineLevel="0" collapsed="false">
      <c r="A39" s="3" t="str">
        <f aca="false">'Golden Dataset'!A36</f>
        <v>R-08184</v>
      </c>
      <c r="B39" s="3" t="str">
        <f aca="false">'Golden Dataset'!I36</f>
        <v>Honest</v>
      </c>
      <c r="C39" s="3" t="n">
        <f aca="false">MIN(99,$M$5*'Golden Dataset'!E36+$M$6*'Golden Dataset'!F36+IF('Golden Dataset'!G36&lt;30,$M$7,0)+IF('Golden Dataset'!H36="No",$M$8,0))</f>
        <v>0</v>
      </c>
      <c r="D39" s="3" t="str">
        <f aca="false">IF(C39&gt;=$M$9,"Hold and review",IF(C39&gt;=$M$10,"Refund on carrier scan","Approve"))</f>
        <v>Approve</v>
      </c>
      <c r="E39" s="3" t="n">
        <f aca="false">IF(C39&gt;=$M$9,1,0)</f>
        <v>0</v>
      </c>
      <c r="F39" s="3" t="n">
        <f aca="false">IF(LEFT(B39,5)="Abuse",1,0)</f>
        <v>0</v>
      </c>
      <c r="G39" s="3" t="n">
        <f aca="false">IF(B39="Abuse: refund without return",1,0)</f>
        <v>0</v>
      </c>
      <c r="H39" s="3" t="str">
        <f aca="false">IF(E39=1,IF(F39=1,"Correct hold","False alarm"),IF(F39=1,"Missed","Correctly left alone"))</f>
        <v>Correctly left alone</v>
      </c>
    </row>
    <row r="40" customFormat="false" ht="15" hidden="false" customHeight="false" outlineLevel="0" collapsed="false">
      <c r="A40" s="3" t="str">
        <f aca="false">'Golden Dataset'!A37</f>
        <v>R-08189</v>
      </c>
      <c r="B40" s="3" t="str">
        <f aca="false">'Golden Dataset'!I37</f>
        <v>Honest</v>
      </c>
      <c r="C40" s="3" t="n">
        <f aca="false">MIN(99,$M$5*'Golden Dataset'!E37+$M$6*'Golden Dataset'!F37+IF('Golden Dataset'!G37&lt;30,$M$7,0)+IF('Golden Dataset'!H37="No",$M$8,0))</f>
        <v>0</v>
      </c>
      <c r="D40" s="3" t="str">
        <f aca="false">IF(C40&gt;=$M$9,"Hold and review",IF(C40&gt;=$M$10,"Refund on carrier scan","Approve"))</f>
        <v>Approve</v>
      </c>
      <c r="E40" s="3" t="n">
        <f aca="false">IF(C40&gt;=$M$9,1,0)</f>
        <v>0</v>
      </c>
      <c r="F40" s="3" t="n">
        <f aca="false">IF(LEFT(B40,5)="Abuse",1,0)</f>
        <v>0</v>
      </c>
      <c r="G40" s="3" t="n">
        <f aca="false">IF(B40="Abuse: refund without return",1,0)</f>
        <v>0</v>
      </c>
      <c r="H40" s="3" t="str">
        <f aca="false">IF(E40=1,IF(F40=1,"Correct hold","False alarm"),IF(F40=1,"Missed","Correctly left alone"))</f>
        <v>Correctly left alone</v>
      </c>
    </row>
    <row r="41" customFormat="false" ht="15" hidden="false" customHeight="false" outlineLevel="0" collapsed="false">
      <c r="A41" s="3" t="str">
        <f aca="false">'Golden Dataset'!A38</f>
        <v>R-08107</v>
      </c>
      <c r="B41" s="3" t="str">
        <f aca="false">'Golden Dataset'!I38</f>
        <v>Abuse: refund without return</v>
      </c>
      <c r="C41" s="3" t="n">
        <f aca="false">MIN(99,$M$5*'Golden Dataset'!E38+$M$6*'Golden Dataset'!F38+IF('Golden Dataset'!G38&lt;30,$M$7,0)+IF('Golden Dataset'!H38="No",$M$8,0))</f>
        <v>96</v>
      </c>
      <c r="D41" s="3" t="str">
        <f aca="false">IF(C41&gt;=$M$9,"Hold and review",IF(C41&gt;=$M$10,"Refund on carrier scan","Approve"))</f>
        <v>Hold and review</v>
      </c>
      <c r="E41" s="3" t="n">
        <f aca="false">IF(C41&gt;=$M$9,1,0)</f>
        <v>1</v>
      </c>
      <c r="F41" s="3" t="n">
        <f aca="false">IF(LEFT(B41,5)="Abuse",1,0)</f>
        <v>1</v>
      </c>
      <c r="G41" s="3" t="n">
        <f aca="false">IF(B41="Abuse: refund without return",1,0)</f>
        <v>1</v>
      </c>
      <c r="H41" s="3" t="str">
        <f aca="false">IF(E41=1,IF(F41=1,"Correct hold","False alarm"),IF(F41=1,"Missed","Correctly left alone"))</f>
        <v>Correct hold</v>
      </c>
    </row>
    <row r="42" customFormat="false" ht="15" hidden="false" customHeight="false" outlineLevel="0" collapsed="false">
      <c r="A42" s="3" t="str">
        <f aca="false">'Golden Dataset'!A39</f>
        <v>R-08187</v>
      </c>
      <c r="B42" s="3" t="str">
        <f aca="false">'Golden Dataset'!I39</f>
        <v>Honest</v>
      </c>
      <c r="C42" s="3" t="n">
        <f aca="false">MIN(99,$M$5*'Golden Dataset'!E39+$M$6*'Golden Dataset'!F39+IF('Golden Dataset'!G39&lt;30,$M$7,0)+IF('Golden Dataset'!H39="No",$M$8,0))</f>
        <v>22</v>
      </c>
      <c r="D42" s="3" t="str">
        <f aca="false">IF(C42&gt;=$M$9,"Hold and review",IF(C42&gt;=$M$10,"Refund on carrier scan","Approve"))</f>
        <v>Approve</v>
      </c>
      <c r="E42" s="3" t="n">
        <f aca="false">IF(C42&gt;=$M$9,1,0)</f>
        <v>0</v>
      </c>
      <c r="F42" s="3" t="n">
        <f aca="false">IF(LEFT(B42,5)="Abuse",1,0)</f>
        <v>0</v>
      </c>
      <c r="G42" s="3" t="n">
        <f aca="false">IF(B42="Abuse: refund without return",1,0)</f>
        <v>0</v>
      </c>
      <c r="H42" s="3" t="str">
        <f aca="false">IF(E42=1,IF(F42=1,"Correct hold","False alarm"),IF(F42=1,"Missed","Correctly left alone"))</f>
        <v>Correctly left alone</v>
      </c>
    </row>
    <row r="43" customFormat="false" ht="15" hidden="false" customHeight="false" outlineLevel="0" collapsed="false">
      <c r="A43" s="3" t="str">
        <f aca="false">'Golden Dataset'!A40</f>
        <v>R-08008</v>
      </c>
      <c r="B43" s="3" t="str">
        <f aca="false">'Golden Dataset'!I40</f>
        <v>Abuse: wear and return</v>
      </c>
      <c r="C43" s="3" t="n">
        <f aca="false">MIN(99,$M$5*'Golden Dataset'!E40+$M$6*'Golden Dataset'!F40+IF('Golden Dataset'!G40&lt;30,$M$7,0)+IF('Golden Dataset'!H40="No",$M$8,0))</f>
        <v>0</v>
      </c>
      <c r="D43" s="3" t="str">
        <f aca="false">IF(C43&gt;=$M$9,"Hold and review",IF(C43&gt;=$M$10,"Refund on carrier scan","Approve"))</f>
        <v>Approve</v>
      </c>
      <c r="E43" s="3" t="n">
        <f aca="false">IF(C43&gt;=$M$9,1,0)</f>
        <v>0</v>
      </c>
      <c r="F43" s="3" t="n">
        <f aca="false">IF(LEFT(B43,5)="Abuse",1,0)</f>
        <v>1</v>
      </c>
      <c r="G43" s="3" t="n">
        <f aca="false">IF(B43="Abuse: refund without return",1,0)</f>
        <v>0</v>
      </c>
      <c r="H43" s="3" t="str">
        <f aca="false">IF(E43=1,IF(F43=1,"Correct hold","False alarm"),IF(F43=1,"Missed","Correctly left alone"))</f>
        <v>Missed</v>
      </c>
    </row>
    <row r="44" customFormat="false" ht="15" hidden="false" customHeight="false" outlineLevel="0" collapsed="false">
      <c r="A44" s="3" t="str">
        <f aca="false">'Golden Dataset'!A41</f>
        <v>R-08129</v>
      </c>
      <c r="B44" s="3" t="str">
        <f aca="false">'Golden Dataset'!I41</f>
        <v>Abuse: repeated damage claims</v>
      </c>
      <c r="C44" s="3" t="n">
        <f aca="false">MIN(99,$M$5*'Golden Dataset'!E41+$M$6*'Golden Dataset'!F41+IF('Golden Dataset'!G41&lt;30,$M$7,0)+IF('Golden Dataset'!H41="No",$M$8,0))</f>
        <v>8</v>
      </c>
      <c r="D44" s="3" t="str">
        <f aca="false">IF(C44&gt;=$M$9,"Hold and review",IF(C44&gt;=$M$10,"Refund on carrier scan","Approve"))</f>
        <v>Approve</v>
      </c>
      <c r="E44" s="3" t="n">
        <f aca="false">IF(C44&gt;=$M$9,1,0)</f>
        <v>0</v>
      </c>
      <c r="F44" s="3" t="n">
        <f aca="false">IF(LEFT(B44,5)="Abuse",1,0)</f>
        <v>1</v>
      </c>
      <c r="G44" s="3" t="n">
        <f aca="false">IF(B44="Abuse: refund without return",1,0)</f>
        <v>0</v>
      </c>
      <c r="H44" s="3" t="str">
        <f aca="false">IF(E44=1,IF(F44=1,"Correct hold","False alarm"),IF(F44=1,"Missed","Correctly left alone"))</f>
        <v>Missed</v>
      </c>
    </row>
    <row r="45" customFormat="false" ht="15" hidden="false" customHeight="false" outlineLevel="0" collapsed="false">
      <c r="A45" s="3" t="str">
        <f aca="false">'Golden Dataset'!A42</f>
        <v>R-08168</v>
      </c>
      <c r="B45" s="3" t="str">
        <f aca="false">'Golden Dataset'!I42</f>
        <v>Honest</v>
      </c>
      <c r="C45" s="3" t="n">
        <f aca="false">MIN(99,$M$5*'Golden Dataset'!E42+$M$6*'Golden Dataset'!F42+IF('Golden Dataset'!G42&lt;30,$M$7,0)+IF('Golden Dataset'!H42="No",$M$8,0))</f>
        <v>12</v>
      </c>
      <c r="D45" s="3" t="str">
        <f aca="false">IF(C45&gt;=$M$9,"Hold and review",IF(C45&gt;=$M$10,"Refund on carrier scan","Approve"))</f>
        <v>Approve</v>
      </c>
      <c r="E45" s="3" t="n">
        <f aca="false">IF(C45&gt;=$M$9,1,0)</f>
        <v>0</v>
      </c>
      <c r="F45" s="3" t="n">
        <f aca="false">IF(LEFT(B45,5)="Abuse",1,0)</f>
        <v>0</v>
      </c>
      <c r="G45" s="3" t="n">
        <f aca="false">IF(B45="Abuse: refund without return",1,0)</f>
        <v>0</v>
      </c>
      <c r="H45" s="3" t="str">
        <f aca="false">IF(E45=1,IF(F45=1,"Correct hold","False alarm"),IF(F45=1,"Missed","Correctly left alone"))</f>
        <v>Correctly left alone</v>
      </c>
    </row>
    <row r="46" customFormat="false" ht="15" hidden="false" customHeight="false" outlineLevel="0" collapsed="false">
      <c r="A46" s="3" t="str">
        <f aca="false">'Golden Dataset'!A43</f>
        <v>R-08114</v>
      </c>
      <c r="B46" s="3" t="str">
        <f aca="false">'Golden Dataset'!I43</f>
        <v>Honest</v>
      </c>
      <c r="C46" s="3" t="n">
        <f aca="false">MIN(99,$M$5*'Golden Dataset'!E43+$M$6*'Golden Dataset'!F43+IF('Golden Dataset'!G43&lt;30,$M$7,0)+IF('Golden Dataset'!H43="No",$M$8,0))</f>
        <v>0</v>
      </c>
      <c r="D46" s="3" t="str">
        <f aca="false">IF(C46&gt;=$M$9,"Hold and review",IF(C46&gt;=$M$10,"Refund on carrier scan","Approve"))</f>
        <v>Approve</v>
      </c>
      <c r="E46" s="3" t="n">
        <f aca="false">IF(C46&gt;=$M$9,1,0)</f>
        <v>0</v>
      </c>
      <c r="F46" s="3" t="n">
        <f aca="false">IF(LEFT(B46,5)="Abuse",1,0)</f>
        <v>0</v>
      </c>
      <c r="G46" s="3" t="n">
        <f aca="false">IF(B46="Abuse: refund without return",1,0)</f>
        <v>0</v>
      </c>
      <c r="H46" s="3" t="str">
        <f aca="false">IF(E46=1,IF(F46=1,"Correct hold","False alarm"),IF(F46=1,"Missed","Correctly left alone"))</f>
        <v>Correctly left alone</v>
      </c>
    </row>
    <row r="47" customFormat="false" ht="15" hidden="false" customHeight="false" outlineLevel="0" collapsed="false">
      <c r="A47" s="3" t="str">
        <f aca="false">'Golden Dataset'!A44</f>
        <v>R-08028</v>
      </c>
      <c r="B47" s="3" t="str">
        <f aca="false">'Golden Dataset'!I44</f>
        <v>Abuse: refund without return</v>
      </c>
      <c r="C47" s="3" t="n">
        <f aca="false">MIN(99,$M$5*'Golden Dataset'!E44+$M$6*'Golden Dataset'!F44+IF('Golden Dataset'!G44&lt;30,$M$7,0)+IF('Golden Dataset'!H44="No",$M$8,0))</f>
        <v>99</v>
      </c>
      <c r="D47" s="3" t="str">
        <f aca="false">IF(C47&gt;=$M$9,"Hold and review",IF(C47&gt;=$M$10,"Refund on carrier scan","Approve"))</f>
        <v>Hold and review</v>
      </c>
      <c r="E47" s="3" t="n">
        <f aca="false">IF(C47&gt;=$M$9,1,0)</f>
        <v>1</v>
      </c>
      <c r="F47" s="3" t="n">
        <f aca="false">IF(LEFT(B47,5)="Abuse",1,0)</f>
        <v>1</v>
      </c>
      <c r="G47" s="3" t="n">
        <f aca="false">IF(B47="Abuse: refund without return",1,0)</f>
        <v>1</v>
      </c>
      <c r="H47" s="3" t="str">
        <f aca="false">IF(E47=1,IF(F47=1,"Correct hold","False alarm"),IF(F47=1,"Missed","Correctly left alone"))</f>
        <v>Correct hold</v>
      </c>
    </row>
    <row r="48" customFormat="false" ht="15" hidden="false" customHeight="false" outlineLevel="0" collapsed="false">
      <c r="A48" s="3" t="str">
        <f aca="false">'Golden Dataset'!A45</f>
        <v>R-08148</v>
      </c>
      <c r="B48" s="3" t="str">
        <f aca="false">'Golden Dataset'!I45</f>
        <v>Abuse: refund without return</v>
      </c>
      <c r="C48" s="3" t="n">
        <f aca="false">MIN(99,$M$5*'Golden Dataset'!E45+$M$6*'Golden Dataset'!F45+IF('Golden Dataset'!G45&lt;30,$M$7,0)+IF('Golden Dataset'!H45="No",$M$8,0))</f>
        <v>64</v>
      </c>
      <c r="D48" s="3" t="str">
        <f aca="false">IF(C48&gt;=$M$9,"Hold and review",IF(C48&gt;=$M$10,"Refund on carrier scan","Approve"))</f>
        <v>Hold and review</v>
      </c>
      <c r="E48" s="3" t="n">
        <f aca="false">IF(C48&gt;=$M$9,1,0)</f>
        <v>1</v>
      </c>
      <c r="F48" s="3" t="n">
        <f aca="false">IF(LEFT(B48,5)="Abuse",1,0)</f>
        <v>1</v>
      </c>
      <c r="G48" s="3" t="n">
        <f aca="false">IF(B48="Abuse: refund without return",1,0)</f>
        <v>1</v>
      </c>
      <c r="H48" s="3" t="str">
        <f aca="false">IF(E48=1,IF(F48=1,"Correct hold","False alarm"),IF(F48=1,"Missed","Correctly left alone"))</f>
        <v>Correct hold</v>
      </c>
    </row>
    <row r="49" customFormat="false" ht="15" hidden="false" customHeight="false" outlineLevel="0" collapsed="false">
      <c r="A49" s="3" t="str">
        <f aca="false">'Golden Dataset'!A46</f>
        <v>R-08192</v>
      </c>
      <c r="B49" s="3" t="str">
        <f aca="false">'Golden Dataset'!I46</f>
        <v>Honest</v>
      </c>
      <c r="C49" s="3" t="n">
        <f aca="false">MIN(99,$M$5*'Golden Dataset'!E46+$M$6*'Golden Dataset'!F46+IF('Golden Dataset'!G46&lt;30,$M$7,0)+IF('Golden Dataset'!H46="No",$M$8,0))</f>
        <v>0</v>
      </c>
      <c r="D49" s="3" t="str">
        <f aca="false">IF(C49&gt;=$M$9,"Hold and review",IF(C49&gt;=$M$10,"Refund on carrier scan","Approve"))</f>
        <v>Approve</v>
      </c>
      <c r="E49" s="3" t="n">
        <f aca="false">IF(C49&gt;=$M$9,1,0)</f>
        <v>0</v>
      </c>
      <c r="F49" s="3" t="n">
        <f aca="false">IF(LEFT(B49,5)="Abuse",1,0)</f>
        <v>0</v>
      </c>
      <c r="G49" s="3" t="n">
        <f aca="false">IF(B49="Abuse: refund without return",1,0)</f>
        <v>0</v>
      </c>
      <c r="H49" s="3" t="str">
        <f aca="false">IF(E49=1,IF(F49=1,"Correct hold","False alarm"),IF(F49=1,"Missed","Correctly left alone"))</f>
        <v>Correctly left alone</v>
      </c>
    </row>
    <row r="50" customFormat="false" ht="15" hidden="false" customHeight="false" outlineLevel="0" collapsed="false">
      <c r="A50" s="3" t="str">
        <f aca="false">'Golden Dataset'!A47</f>
        <v>R-08102</v>
      </c>
      <c r="B50" s="3" t="str">
        <f aca="false">'Golden Dataset'!I47</f>
        <v>Honest</v>
      </c>
      <c r="C50" s="3" t="n">
        <f aca="false">MIN(99,$M$5*'Golden Dataset'!E47+$M$6*'Golden Dataset'!F47+IF('Golden Dataset'!G47&lt;30,$M$7,0)+IF('Golden Dataset'!H47="No",$M$8,0))</f>
        <v>0</v>
      </c>
      <c r="D50" s="3" t="str">
        <f aca="false">IF(C50&gt;=$M$9,"Hold and review",IF(C50&gt;=$M$10,"Refund on carrier scan","Approve"))</f>
        <v>Approve</v>
      </c>
      <c r="E50" s="3" t="n">
        <f aca="false">IF(C50&gt;=$M$9,1,0)</f>
        <v>0</v>
      </c>
      <c r="F50" s="3" t="n">
        <f aca="false">IF(LEFT(B50,5)="Abuse",1,0)</f>
        <v>0</v>
      </c>
      <c r="G50" s="3" t="n">
        <f aca="false">IF(B50="Abuse: refund without return",1,0)</f>
        <v>0</v>
      </c>
      <c r="H50" s="3" t="str">
        <f aca="false">IF(E50=1,IF(F50=1,"Correct hold","False alarm"),IF(F50=1,"Missed","Correctly left alone"))</f>
        <v>Correctly left alone</v>
      </c>
    </row>
    <row r="51" customFormat="false" ht="15" hidden="false" customHeight="false" outlineLevel="0" collapsed="false">
      <c r="A51" s="3" t="str">
        <f aca="false">'Golden Dataset'!A48</f>
        <v>R-08140</v>
      </c>
      <c r="B51" s="3" t="str">
        <f aca="false">'Golden Dataset'!I48</f>
        <v>Honest</v>
      </c>
      <c r="C51" s="3" t="n">
        <f aca="false">MIN(99,$M$5*'Golden Dataset'!E48+$M$6*'Golden Dataset'!F48+IF('Golden Dataset'!G48&lt;30,$M$7,0)+IF('Golden Dataset'!H48="No",$M$8,0))</f>
        <v>0</v>
      </c>
      <c r="D51" s="3" t="str">
        <f aca="false">IF(C51&gt;=$M$9,"Hold and review",IF(C51&gt;=$M$10,"Refund on carrier scan","Approve"))</f>
        <v>Approve</v>
      </c>
      <c r="E51" s="3" t="n">
        <f aca="false">IF(C51&gt;=$M$9,1,0)</f>
        <v>0</v>
      </c>
      <c r="F51" s="3" t="n">
        <f aca="false">IF(LEFT(B51,5)="Abuse",1,0)</f>
        <v>0</v>
      </c>
      <c r="G51" s="3" t="n">
        <f aca="false">IF(B51="Abuse: refund without return",1,0)</f>
        <v>0</v>
      </c>
      <c r="H51" s="3" t="str">
        <f aca="false">IF(E51=1,IF(F51=1,"Correct hold","False alarm"),IF(F51=1,"Missed","Correctly left alone"))</f>
        <v>Correctly left alone</v>
      </c>
    </row>
    <row r="52" customFormat="false" ht="15" hidden="false" customHeight="false" outlineLevel="0" collapsed="false">
      <c r="A52" s="3" t="str">
        <f aca="false">'Golden Dataset'!A49</f>
        <v>R-08190</v>
      </c>
      <c r="B52" s="3" t="str">
        <f aca="false">'Golden Dataset'!I49</f>
        <v>Abuse: refund without return</v>
      </c>
      <c r="C52" s="3" t="n">
        <f aca="false">MIN(99,$M$5*'Golden Dataset'!E49+$M$6*'Golden Dataset'!F49+IF('Golden Dataset'!G49&lt;30,$M$7,0)+IF('Golden Dataset'!H49="No",$M$8,0))</f>
        <v>74</v>
      </c>
      <c r="D52" s="3" t="str">
        <f aca="false">IF(C52&gt;=$M$9,"Hold and review",IF(C52&gt;=$M$10,"Refund on carrier scan","Approve"))</f>
        <v>Hold and review</v>
      </c>
      <c r="E52" s="3" t="n">
        <f aca="false">IF(C52&gt;=$M$9,1,0)</f>
        <v>1</v>
      </c>
      <c r="F52" s="3" t="n">
        <f aca="false">IF(LEFT(B52,5)="Abuse",1,0)</f>
        <v>1</v>
      </c>
      <c r="G52" s="3" t="n">
        <f aca="false">IF(B52="Abuse: refund without return",1,0)</f>
        <v>1</v>
      </c>
      <c r="H52" s="3" t="str">
        <f aca="false">IF(E52=1,IF(F52=1,"Correct hold","False alarm"),IF(F52=1,"Missed","Correctly left alone"))</f>
        <v>Correct hold</v>
      </c>
    </row>
    <row r="53" customFormat="false" ht="15" hidden="false" customHeight="false" outlineLevel="0" collapsed="false">
      <c r="A53" s="3" t="str">
        <f aca="false">'Golden Dataset'!A50</f>
        <v>R-08004</v>
      </c>
      <c r="B53" s="3" t="str">
        <f aca="false">'Golden Dataset'!I50</f>
        <v>Honest</v>
      </c>
      <c r="C53" s="3" t="n">
        <f aca="false">MIN(99,$M$5*'Golden Dataset'!E50+$M$6*'Golden Dataset'!F50+IF('Golden Dataset'!G50&lt;30,$M$7,0)+IF('Golden Dataset'!H50="No",$M$8,0))</f>
        <v>0</v>
      </c>
      <c r="D53" s="3" t="str">
        <f aca="false">IF(C53&gt;=$M$9,"Hold and review",IF(C53&gt;=$M$10,"Refund on carrier scan","Approve"))</f>
        <v>Approve</v>
      </c>
      <c r="E53" s="3" t="n">
        <f aca="false">IF(C53&gt;=$M$9,1,0)</f>
        <v>0</v>
      </c>
      <c r="F53" s="3" t="n">
        <f aca="false">IF(LEFT(B53,5)="Abuse",1,0)</f>
        <v>0</v>
      </c>
      <c r="G53" s="3" t="n">
        <f aca="false">IF(B53="Abuse: refund without return",1,0)</f>
        <v>0</v>
      </c>
      <c r="H53" s="3" t="str">
        <f aca="false">IF(E53=1,IF(F53=1,"Correct hold","False alarm"),IF(F53=1,"Missed","Correctly left alone"))</f>
        <v>Correctly left alone</v>
      </c>
    </row>
    <row r="54" customFormat="false" ht="15" hidden="false" customHeight="false" outlineLevel="0" collapsed="false">
      <c r="A54" s="3" t="str">
        <f aca="false">'Golden Dataset'!A51</f>
        <v>R-08155</v>
      </c>
      <c r="B54" s="3" t="str">
        <f aca="false">'Golden Dataset'!I51</f>
        <v>Abuse: refund without return</v>
      </c>
      <c r="C54" s="3" t="n">
        <f aca="false">MIN(99,$M$5*'Golden Dataset'!E51+$M$6*'Golden Dataset'!F51+IF('Golden Dataset'!G51&lt;30,$M$7,0)+IF('Golden Dataset'!H51="No",$M$8,0))</f>
        <v>86</v>
      </c>
      <c r="D54" s="3" t="str">
        <f aca="false">IF(C54&gt;=$M$9,"Hold and review",IF(C54&gt;=$M$10,"Refund on carrier scan","Approve"))</f>
        <v>Hold and review</v>
      </c>
      <c r="E54" s="3" t="n">
        <f aca="false">IF(C54&gt;=$M$9,1,0)</f>
        <v>1</v>
      </c>
      <c r="F54" s="3" t="n">
        <f aca="false">IF(LEFT(B54,5)="Abuse",1,0)</f>
        <v>1</v>
      </c>
      <c r="G54" s="3" t="n">
        <f aca="false">IF(B54="Abuse: refund without return",1,0)</f>
        <v>1</v>
      </c>
      <c r="H54" s="3" t="str">
        <f aca="false">IF(E54=1,IF(F54=1,"Correct hold","False alarm"),IF(F54=1,"Missed","Correctly left alone"))</f>
        <v>Correct hold</v>
      </c>
    </row>
    <row r="55" customFormat="false" ht="15" hidden="false" customHeight="false" outlineLevel="0" collapsed="false">
      <c r="A55" s="3" t="str">
        <f aca="false">'Golden Dataset'!A52</f>
        <v>R-08157</v>
      </c>
      <c r="B55" s="3" t="str">
        <f aca="false">'Golden Dataset'!I52</f>
        <v>Honest</v>
      </c>
      <c r="C55" s="3" t="n">
        <f aca="false">MIN(99,$M$5*'Golden Dataset'!E52+$M$6*'Golden Dataset'!F52+IF('Golden Dataset'!G52&lt;30,$M$7,0)+IF('Golden Dataset'!H52="No",$M$8,0))</f>
        <v>0</v>
      </c>
      <c r="D55" s="3" t="str">
        <f aca="false">IF(C55&gt;=$M$9,"Hold and review",IF(C55&gt;=$M$10,"Refund on carrier scan","Approve"))</f>
        <v>Approve</v>
      </c>
      <c r="E55" s="3" t="n">
        <f aca="false">IF(C55&gt;=$M$9,1,0)</f>
        <v>0</v>
      </c>
      <c r="F55" s="3" t="n">
        <f aca="false">IF(LEFT(B55,5)="Abuse",1,0)</f>
        <v>0</v>
      </c>
      <c r="G55" s="3" t="n">
        <f aca="false">IF(B55="Abuse: refund without return",1,0)</f>
        <v>0</v>
      </c>
      <c r="H55" s="3" t="str">
        <f aca="false">IF(E55=1,IF(F55=1,"Correct hold","False alarm"),IF(F55=1,"Missed","Correctly left alone"))</f>
        <v>Correctly left alone</v>
      </c>
    </row>
    <row r="56" customFormat="false" ht="15" hidden="false" customHeight="false" outlineLevel="0" collapsed="false">
      <c r="A56" s="3" t="str">
        <f aca="false">'Golden Dataset'!A53</f>
        <v>R-08010</v>
      </c>
      <c r="B56" s="3" t="str">
        <f aca="false">'Golden Dataset'!I53</f>
        <v>Abuse: reseller ring</v>
      </c>
      <c r="C56" s="3" t="n">
        <f aca="false">MIN(99,$M$5*'Golden Dataset'!E53+$M$6*'Golden Dataset'!F53+IF('Golden Dataset'!G53&lt;30,$M$7,0)+IF('Golden Dataset'!H53="No",$M$8,0))</f>
        <v>92</v>
      </c>
      <c r="D56" s="3" t="str">
        <f aca="false">IF(C56&gt;=$M$9,"Hold and review",IF(C56&gt;=$M$10,"Refund on carrier scan","Approve"))</f>
        <v>Hold and review</v>
      </c>
      <c r="E56" s="3" t="n">
        <f aca="false">IF(C56&gt;=$M$9,1,0)</f>
        <v>1</v>
      </c>
      <c r="F56" s="3" t="n">
        <f aca="false">IF(LEFT(B56,5)="Abuse",1,0)</f>
        <v>1</v>
      </c>
      <c r="G56" s="3" t="n">
        <f aca="false">IF(B56="Abuse: refund without return",1,0)</f>
        <v>0</v>
      </c>
      <c r="H56" s="3" t="str">
        <f aca="false">IF(E56=1,IF(F56=1,"Correct hold","False alarm"),IF(F56=1,"Missed","Correctly left alone"))</f>
        <v>Correct hold</v>
      </c>
    </row>
    <row r="57" customFormat="false" ht="15" hidden="false" customHeight="false" outlineLevel="0" collapsed="false">
      <c r="A57" s="3" t="str">
        <f aca="false">'Golden Dataset'!A54</f>
        <v>R-08064</v>
      </c>
      <c r="B57" s="3" t="str">
        <f aca="false">'Golden Dataset'!I54</f>
        <v>Abuse: wear and return</v>
      </c>
      <c r="C57" s="3" t="n">
        <f aca="false">MIN(99,$M$5*'Golden Dataset'!E54+$M$6*'Golden Dataset'!F54+IF('Golden Dataset'!G54&lt;30,$M$7,0)+IF('Golden Dataset'!H54="No",$M$8,0))</f>
        <v>0</v>
      </c>
      <c r="D57" s="3" t="str">
        <f aca="false">IF(C57&gt;=$M$9,"Hold and review",IF(C57&gt;=$M$10,"Refund on carrier scan","Approve"))</f>
        <v>Approve</v>
      </c>
      <c r="E57" s="3" t="n">
        <f aca="false">IF(C57&gt;=$M$9,1,0)</f>
        <v>0</v>
      </c>
      <c r="F57" s="3" t="n">
        <f aca="false">IF(LEFT(B57,5)="Abuse",1,0)</f>
        <v>1</v>
      </c>
      <c r="G57" s="3" t="n">
        <f aca="false">IF(B57="Abuse: refund without return",1,0)</f>
        <v>0</v>
      </c>
      <c r="H57" s="3" t="str">
        <f aca="false">IF(E57=1,IF(F57=1,"Correct hold","False alarm"),IF(F57=1,"Missed","Correctly left alone"))</f>
        <v>Missed</v>
      </c>
    </row>
    <row r="58" customFormat="false" ht="15" hidden="false" customHeight="false" outlineLevel="0" collapsed="false">
      <c r="A58" s="3" t="str">
        <f aca="false">'Golden Dataset'!A55</f>
        <v>R-08113</v>
      </c>
      <c r="B58" s="3" t="str">
        <f aca="false">'Golden Dataset'!I55</f>
        <v>Abuse: repeated damage claims</v>
      </c>
      <c r="C58" s="3" t="n">
        <f aca="false">MIN(99,$M$5*'Golden Dataset'!E55+$M$6*'Golden Dataset'!F55+IF('Golden Dataset'!G55&lt;30,$M$7,0)+IF('Golden Dataset'!H55="No",$M$8,0))</f>
        <v>8</v>
      </c>
      <c r="D58" s="3" t="str">
        <f aca="false">IF(C58&gt;=$M$9,"Hold and review",IF(C58&gt;=$M$10,"Refund on carrier scan","Approve"))</f>
        <v>Approve</v>
      </c>
      <c r="E58" s="3" t="n">
        <f aca="false">IF(C58&gt;=$M$9,1,0)</f>
        <v>0</v>
      </c>
      <c r="F58" s="3" t="n">
        <f aca="false">IF(LEFT(B58,5)="Abuse",1,0)</f>
        <v>1</v>
      </c>
      <c r="G58" s="3" t="n">
        <f aca="false">IF(B58="Abuse: refund without return",1,0)</f>
        <v>0</v>
      </c>
      <c r="H58" s="3" t="str">
        <f aca="false">IF(E58=1,IF(F58=1,"Correct hold","False alarm"),IF(F58=1,"Missed","Correctly left alone"))</f>
        <v>Missed</v>
      </c>
    </row>
    <row r="59" customFormat="false" ht="15" hidden="false" customHeight="false" outlineLevel="0" collapsed="false">
      <c r="A59" s="3" t="str">
        <f aca="false">'Golden Dataset'!A56</f>
        <v>R-08115</v>
      </c>
      <c r="B59" s="3" t="str">
        <f aca="false">'Golden Dataset'!I56</f>
        <v>Honest: carrier lost parcel</v>
      </c>
      <c r="C59" s="3" t="n">
        <f aca="false">MIN(99,$M$5*'Golden Dataset'!E56+$M$6*'Golden Dataset'!F56+IF('Golden Dataset'!G56&lt;30,$M$7,0)+IF('Golden Dataset'!H56="No",$M$8,0))</f>
        <v>8</v>
      </c>
      <c r="D59" s="3" t="str">
        <f aca="false">IF(C59&gt;=$M$9,"Hold and review",IF(C59&gt;=$M$10,"Refund on carrier scan","Approve"))</f>
        <v>Approve</v>
      </c>
      <c r="E59" s="3" t="n">
        <f aca="false">IF(C59&gt;=$M$9,1,0)</f>
        <v>0</v>
      </c>
      <c r="F59" s="3" t="n">
        <f aca="false">IF(LEFT(B59,5)="Abuse",1,0)</f>
        <v>0</v>
      </c>
      <c r="G59" s="3" t="n">
        <f aca="false">IF(B59="Abuse: refund without return",1,0)</f>
        <v>0</v>
      </c>
      <c r="H59" s="3" t="str">
        <f aca="false">IF(E59=1,IF(F59=1,"Correct hold","False alarm"),IF(F59=1,"Missed","Correctly left alone"))</f>
        <v>Correctly left alone</v>
      </c>
    </row>
    <row r="60" customFormat="false" ht="15" hidden="false" customHeight="false" outlineLevel="0" collapsed="false">
      <c r="A60" s="3" t="str">
        <f aca="false">'Golden Dataset'!A57</f>
        <v>R-08123</v>
      </c>
      <c r="B60" s="3" t="str">
        <f aca="false">'Golden Dataset'!I57</f>
        <v>Honest: carrier lost parcel</v>
      </c>
      <c r="C60" s="3" t="n">
        <f aca="false">MIN(99,$M$5*'Golden Dataset'!E57+$M$6*'Golden Dataset'!F57+IF('Golden Dataset'!G57&lt;30,$M$7,0)+IF('Golden Dataset'!H57="No",$M$8,0))</f>
        <v>30</v>
      </c>
      <c r="D60" s="3" t="str">
        <f aca="false">IF(C60&gt;=$M$9,"Hold and review",IF(C60&gt;=$M$10,"Refund on carrier scan","Approve"))</f>
        <v>Refund on carrier scan</v>
      </c>
      <c r="E60" s="3" t="n">
        <f aca="false">IF(C60&gt;=$M$9,1,0)</f>
        <v>0</v>
      </c>
      <c r="F60" s="3" t="n">
        <f aca="false">IF(LEFT(B60,5)="Abuse",1,0)</f>
        <v>0</v>
      </c>
      <c r="G60" s="3" t="n">
        <f aca="false">IF(B60="Abuse: refund without return",1,0)</f>
        <v>0</v>
      </c>
      <c r="H60" s="3" t="str">
        <f aca="false">IF(E60=1,IF(F60=1,"Correct hold","False alarm"),IF(F60=1,"Missed","Correctly left alone"))</f>
        <v>Correctly left alone</v>
      </c>
    </row>
    <row r="61" customFormat="false" ht="15" hidden="false" customHeight="false" outlineLevel="0" collapsed="false">
      <c r="A61" s="3" t="str">
        <f aca="false">'Golden Dataset'!A58</f>
        <v>R-08067</v>
      </c>
      <c r="B61" s="3" t="str">
        <f aca="false">'Golden Dataset'!I58</f>
        <v>Honest: carrier lost parcel</v>
      </c>
      <c r="C61" s="3" t="n">
        <f aca="false">MIN(99,$M$5*'Golden Dataset'!E58+$M$6*'Golden Dataset'!F58+IF('Golden Dataset'!G58&lt;30,$M$7,0)+IF('Golden Dataset'!H58="No",$M$8,0))</f>
        <v>52</v>
      </c>
      <c r="D61" s="3" t="str">
        <f aca="false">IF(C61&gt;=$M$9,"Hold and review",IF(C61&gt;=$M$10,"Refund on carrier scan","Approve"))</f>
        <v>Refund on carrier scan</v>
      </c>
      <c r="E61" s="3" t="n">
        <f aca="false">IF(C61&gt;=$M$9,1,0)</f>
        <v>0</v>
      </c>
      <c r="F61" s="3" t="n">
        <f aca="false">IF(LEFT(B61,5)="Abuse",1,0)</f>
        <v>0</v>
      </c>
      <c r="G61" s="3" t="n">
        <f aca="false">IF(B61="Abuse: refund without return",1,0)</f>
        <v>0</v>
      </c>
      <c r="H61" s="3" t="str">
        <f aca="false">IF(E61=1,IF(F61=1,"Correct hold","False alarm"),IF(F61=1,"Missed","Correctly left alone"))</f>
        <v>Correctly left alone</v>
      </c>
    </row>
    <row r="62" customFormat="false" ht="15" hidden="false" customHeight="false" outlineLevel="0" collapsed="false">
      <c r="A62" s="3" t="str">
        <f aca="false">'Golden Dataset'!A59</f>
        <v>R-08009</v>
      </c>
      <c r="B62" s="3" t="str">
        <f aca="false">'Golden Dataset'!I59</f>
        <v>Honest</v>
      </c>
      <c r="C62" s="3" t="n">
        <f aca="false">MIN(99,$M$5*'Golden Dataset'!E59+$M$6*'Golden Dataset'!F59+IF('Golden Dataset'!G59&lt;30,$M$7,0)+IF('Golden Dataset'!H59="No",$M$8,0))</f>
        <v>0</v>
      </c>
      <c r="D62" s="3" t="str">
        <f aca="false">IF(C62&gt;=$M$9,"Hold and review",IF(C62&gt;=$M$10,"Refund on carrier scan","Approve"))</f>
        <v>Approve</v>
      </c>
      <c r="E62" s="3" t="n">
        <f aca="false">IF(C62&gt;=$M$9,1,0)</f>
        <v>0</v>
      </c>
      <c r="F62" s="3" t="n">
        <f aca="false">IF(LEFT(B62,5)="Abuse",1,0)</f>
        <v>0</v>
      </c>
      <c r="G62" s="3" t="n">
        <f aca="false">IF(B62="Abuse: refund without return",1,0)</f>
        <v>0</v>
      </c>
      <c r="H62" s="3" t="str">
        <f aca="false">IF(E62=1,IF(F62=1,"Correct hold","False alarm"),IF(F62=1,"Missed","Correctly left alone"))</f>
        <v>Correctly left alone</v>
      </c>
    </row>
    <row r="63" customFormat="false" ht="15" hidden="false" customHeight="false" outlineLevel="0" collapsed="false">
      <c r="A63" s="3" t="str">
        <f aca="false">'Golden Dataset'!A60</f>
        <v>R-08078</v>
      </c>
      <c r="B63" s="3" t="str">
        <f aca="false">'Golden Dataset'!I60</f>
        <v>Honest</v>
      </c>
      <c r="C63" s="3" t="n">
        <f aca="false">MIN(99,$M$5*'Golden Dataset'!E60+$M$6*'Golden Dataset'!F60+IF('Golden Dataset'!G60&lt;30,$M$7,0)+IF('Golden Dataset'!H60="No",$M$8,0))</f>
        <v>0</v>
      </c>
      <c r="D63" s="3" t="str">
        <f aca="false">IF(C63&gt;=$M$9,"Hold and review",IF(C63&gt;=$M$10,"Refund on carrier scan","Approve"))</f>
        <v>Approve</v>
      </c>
      <c r="E63" s="3" t="n">
        <f aca="false">IF(C63&gt;=$M$9,1,0)</f>
        <v>0</v>
      </c>
      <c r="F63" s="3" t="n">
        <f aca="false">IF(LEFT(B63,5)="Abuse",1,0)</f>
        <v>0</v>
      </c>
      <c r="G63" s="3" t="n">
        <f aca="false">IF(B63="Abuse: refund without return",1,0)</f>
        <v>0</v>
      </c>
      <c r="H63" s="3" t="str">
        <f aca="false">IF(E63=1,IF(F63=1,"Correct hold","False alarm"),IF(F63=1,"Missed","Correctly left alone"))</f>
        <v>Correctly left alone</v>
      </c>
    </row>
    <row r="64" customFormat="false" ht="15" hidden="false" customHeight="false" outlineLevel="0" collapsed="false">
      <c r="A64" s="3" t="str">
        <f aca="false">'Golden Dataset'!A61</f>
        <v>R-08077</v>
      </c>
      <c r="B64" s="3" t="str">
        <f aca="false">'Golden Dataset'!I61</f>
        <v>Abuse: reseller ring</v>
      </c>
      <c r="C64" s="3" t="n">
        <f aca="false">MIN(99,$M$5*'Golden Dataset'!E61+$M$6*'Golden Dataset'!F61+IF('Golden Dataset'!G61&lt;30,$M$7,0)+IF('Golden Dataset'!H61="No",$M$8,0))</f>
        <v>62</v>
      </c>
      <c r="D64" s="3" t="str">
        <f aca="false">IF(C64&gt;=$M$9,"Hold and review",IF(C64&gt;=$M$10,"Refund on carrier scan","Approve"))</f>
        <v>Hold and review</v>
      </c>
      <c r="E64" s="3" t="n">
        <f aca="false">IF(C64&gt;=$M$9,1,0)</f>
        <v>1</v>
      </c>
      <c r="F64" s="3" t="n">
        <f aca="false">IF(LEFT(B64,5)="Abuse",1,0)</f>
        <v>1</v>
      </c>
      <c r="G64" s="3" t="n">
        <f aca="false">IF(B64="Abuse: refund without return",1,0)</f>
        <v>0</v>
      </c>
      <c r="H64" s="3" t="str">
        <f aca="false">IF(E64=1,IF(F64=1,"Correct hold","False alarm"),IF(F64=1,"Missed","Correctly left alone"))</f>
        <v>Correct hold</v>
      </c>
    </row>
    <row r="65" customFormat="false" ht="15" hidden="false" customHeight="false" outlineLevel="0" collapsed="false">
      <c r="A65" s="3" t="str">
        <f aca="false">'Golden Dataset'!A62</f>
        <v>R-08164</v>
      </c>
      <c r="B65" s="3" t="str">
        <f aca="false">'Golden Dataset'!I62</f>
        <v>Honest</v>
      </c>
      <c r="C65" s="3" t="n">
        <f aca="false">MIN(99,$M$5*'Golden Dataset'!E62+$M$6*'Golden Dataset'!F62+IF('Golden Dataset'!G62&lt;30,$M$7,0)+IF('Golden Dataset'!H62="No",$M$8,0))</f>
        <v>22</v>
      </c>
      <c r="D65" s="3" t="str">
        <f aca="false">IF(C65&gt;=$M$9,"Hold and review",IF(C65&gt;=$M$10,"Refund on carrier scan","Approve"))</f>
        <v>Approve</v>
      </c>
      <c r="E65" s="3" t="n">
        <f aca="false">IF(C65&gt;=$M$9,1,0)</f>
        <v>0</v>
      </c>
      <c r="F65" s="3" t="n">
        <f aca="false">IF(LEFT(B65,5)="Abuse",1,0)</f>
        <v>0</v>
      </c>
      <c r="G65" s="3" t="n">
        <f aca="false">IF(B65="Abuse: refund without return",1,0)</f>
        <v>0</v>
      </c>
      <c r="H65" s="3" t="str">
        <f aca="false">IF(E65=1,IF(F65=1,"Correct hold","False alarm"),IF(F65=1,"Missed","Correctly left alone"))</f>
        <v>Correctly left alone</v>
      </c>
    </row>
    <row r="66" customFormat="false" ht="15" hidden="false" customHeight="false" outlineLevel="0" collapsed="false">
      <c r="A66" s="3" t="str">
        <f aca="false">'Golden Dataset'!A63</f>
        <v>R-08146</v>
      </c>
      <c r="B66" s="3" t="str">
        <f aca="false">'Golden Dataset'!I63</f>
        <v>Abuse: repeated damage claims</v>
      </c>
      <c r="C66" s="3" t="n">
        <f aca="false">MIN(99,$M$5*'Golden Dataset'!E63+$M$6*'Golden Dataset'!F63+IF('Golden Dataset'!G63&lt;30,$M$7,0)+IF('Golden Dataset'!H63="No",$M$8,0))</f>
        <v>8</v>
      </c>
      <c r="D66" s="3" t="str">
        <f aca="false">IF(C66&gt;=$M$9,"Hold and review",IF(C66&gt;=$M$10,"Refund on carrier scan","Approve"))</f>
        <v>Approve</v>
      </c>
      <c r="E66" s="3" t="n">
        <f aca="false">IF(C66&gt;=$M$9,1,0)</f>
        <v>0</v>
      </c>
      <c r="F66" s="3" t="n">
        <f aca="false">IF(LEFT(B66,5)="Abuse",1,0)</f>
        <v>1</v>
      </c>
      <c r="G66" s="3" t="n">
        <f aca="false">IF(B66="Abuse: refund without return",1,0)</f>
        <v>0</v>
      </c>
      <c r="H66" s="3" t="str">
        <f aca="false">IF(E66=1,IF(F66=1,"Correct hold","False alarm"),IF(F66=1,"Missed","Correctly left alone"))</f>
        <v>Missed</v>
      </c>
    </row>
    <row r="67" customFormat="false" ht="15" hidden="false" customHeight="false" outlineLevel="0" collapsed="false">
      <c r="A67" s="3" t="str">
        <f aca="false">'Golden Dataset'!A64</f>
        <v>R-08098</v>
      </c>
      <c r="B67" s="3" t="str">
        <f aca="false">'Golden Dataset'!I64</f>
        <v>Abuse: refund without return</v>
      </c>
      <c r="C67" s="3" t="n">
        <f aca="false">MIN(99,$M$5*'Golden Dataset'!E64+$M$6*'Golden Dataset'!F64+IF('Golden Dataset'!G64&lt;30,$M$7,0)+IF('Golden Dataset'!H64="No",$M$8,0))</f>
        <v>99</v>
      </c>
      <c r="D67" s="3" t="str">
        <f aca="false">IF(C67&gt;=$M$9,"Hold and review",IF(C67&gt;=$M$10,"Refund on carrier scan","Approve"))</f>
        <v>Hold and review</v>
      </c>
      <c r="E67" s="3" t="n">
        <f aca="false">IF(C67&gt;=$M$9,1,0)</f>
        <v>1</v>
      </c>
      <c r="F67" s="3" t="n">
        <f aca="false">IF(LEFT(B67,5)="Abuse",1,0)</f>
        <v>1</v>
      </c>
      <c r="G67" s="3" t="n">
        <f aca="false">IF(B67="Abuse: refund without return",1,0)</f>
        <v>1</v>
      </c>
      <c r="H67" s="3" t="str">
        <f aca="false">IF(E67=1,IF(F67=1,"Correct hold","False alarm"),IF(F67=1,"Missed","Correctly left alone"))</f>
        <v>Correct hold</v>
      </c>
    </row>
    <row r="68" customFormat="false" ht="15" hidden="false" customHeight="false" outlineLevel="0" collapsed="false">
      <c r="A68" s="3" t="str">
        <f aca="false">'Golden Dataset'!A65</f>
        <v>R-08135</v>
      </c>
      <c r="B68" s="3" t="str">
        <f aca="false">'Golden Dataset'!I65</f>
        <v>Honest</v>
      </c>
      <c r="C68" s="3" t="n">
        <f aca="false">MIN(99,$M$5*'Golden Dataset'!E65+$M$6*'Golden Dataset'!F65+IF('Golden Dataset'!G65&lt;30,$M$7,0)+IF('Golden Dataset'!H65="No",$M$8,0))</f>
        <v>50</v>
      </c>
      <c r="D68" s="3" t="str">
        <f aca="false">IF(C68&gt;=$M$9,"Hold and review",IF(C68&gt;=$M$10,"Refund on carrier scan","Approve"))</f>
        <v>Refund on carrier scan</v>
      </c>
      <c r="E68" s="3" t="n">
        <f aca="false">IF(C68&gt;=$M$9,1,0)</f>
        <v>0</v>
      </c>
      <c r="F68" s="3" t="n">
        <f aca="false">IF(LEFT(B68,5)="Abuse",1,0)</f>
        <v>0</v>
      </c>
      <c r="G68" s="3" t="n">
        <f aca="false">IF(B68="Abuse: refund without return",1,0)</f>
        <v>0</v>
      </c>
      <c r="H68" s="3" t="str">
        <f aca="false">IF(E68=1,IF(F68=1,"Correct hold","False alarm"),IF(F68=1,"Missed","Correctly left alone"))</f>
        <v>Correctly left alone</v>
      </c>
    </row>
    <row r="69" customFormat="false" ht="15" hidden="false" customHeight="false" outlineLevel="0" collapsed="false">
      <c r="A69" s="3" t="str">
        <f aca="false">'Golden Dataset'!A66</f>
        <v>R-08147</v>
      </c>
      <c r="B69" s="3" t="str">
        <f aca="false">'Golden Dataset'!I66</f>
        <v>Honest</v>
      </c>
      <c r="C69" s="3" t="n">
        <f aca="false">MIN(99,$M$5*'Golden Dataset'!E66+$M$6*'Golden Dataset'!F66+IF('Golden Dataset'!G66&lt;30,$M$7,0)+IF('Golden Dataset'!H66="No",$M$8,0))</f>
        <v>0</v>
      </c>
      <c r="D69" s="3" t="str">
        <f aca="false">IF(C69&gt;=$M$9,"Hold and review",IF(C69&gt;=$M$10,"Refund on carrier scan","Approve"))</f>
        <v>Approve</v>
      </c>
      <c r="E69" s="3" t="n">
        <f aca="false">IF(C69&gt;=$M$9,1,0)</f>
        <v>0</v>
      </c>
      <c r="F69" s="3" t="n">
        <f aca="false">IF(LEFT(B69,5)="Abuse",1,0)</f>
        <v>0</v>
      </c>
      <c r="G69" s="3" t="n">
        <f aca="false">IF(B69="Abuse: refund without return",1,0)</f>
        <v>0</v>
      </c>
      <c r="H69" s="3" t="str">
        <f aca="false">IF(E69=1,IF(F69=1,"Correct hold","False alarm"),IF(F69=1,"Missed","Correctly left alone"))</f>
        <v>Correctly left alone</v>
      </c>
    </row>
    <row r="70" customFormat="false" ht="15" hidden="false" customHeight="false" outlineLevel="0" collapsed="false">
      <c r="A70" s="3" t="str">
        <f aca="false">'Golden Dataset'!A67</f>
        <v>R-08054</v>
      </c>
      <c r="B70" s="3" t="str">
        <f aca="false">'Golden Dataset'!I67</f>
        <v>Honest</v>
      </c>
      <c r="C70" s="3" t="n">
        <f aca="false">MIN(99,$M$5*'Golden Dataset'!E67+$M$6*'Golden Dataset'!F67+IF('Golden Dataset'!G67&lt;30,$M$7,0)+IF('Golden Dataset'!H67="No",$M$8,0))</f>
        <v>0</v>
      </c>
      <c r="D70" s="3" t="str">
        <f aca="false">IF(C70&gt;=$M$9,"Hold and review",IF(C70&gt;=$M$10,"Refund on carrier scan","Approve"))</f>
        <v>Approve</v>
      </c>
      <c r="E70" s="3" t="n">
        <f aca="false">IF(C70&gt;=$M$9,1,0)</f>
        <v>0</v>
      </c>
      <c r="F70" s="3" t="n">
        <f aca="false">IF(LEFT(B70,5)="Abuse",1,0)</f>
        <v>0</v>
      </c>
      <c r="G70" s="3" t="n">
        <f aca="false">IF(B70="Abuse: refund without return",1,0)</f>
        <v>0</v>
      </c>
      <c r="H70" s="3" t="str">
        <f aca="false">IF(E70=1,IF(F70=1,"Correct hold","False alarm"),IF(F70=1,"Missed","Correctly left alone"))</f>
        <v>Correctly left alone</v>
      </c>
    </row>
    <row r="71" customFormat="false" ht="15" hidden="false" customHeight="false" outlineLevel="0" collapsed="false">
      <c r="A71" s="3" t="str">
        <f aca="false">'Golden Dataset'!A68</f>
        <v>R-08005</v>
      </c>
      <c r="B71" s="3" t="str">
        <f aca="false">'Golden Dataset'!I68</f>
        <v>Honest</v>
      </c>
      <c r="C71" s="3" t="n">
        <f aca="false">MIN(99,$M$5*'Golden Dataset'!E68+$M$6*'Golden Dataset'!F68+IF('Golden Dataset'!G68&lt;30,$M$7,0)+IF('Golden Dataset'!H68="No",$M$8,0))</f>
        <v>0</v>
      </c>
      <c r="D71" s="3" t="str">
        <f aca="false">IF(C71&gt;=$M$9,"Hold and review",IF(C71&gt;=$M$10,"Refund on carrier scan","Approve"))</f>
        <v>Approve</v>
      </c>
      <c r="E71" s="3" t="n">
        <f aca="false">IF(C71&gt;=$M$9,1,0)</f>
        <v>0</v>
      </c>
      <c r="F71" s="3" t="n">
        <f aca="false">IF(LEFT(B71,5)="Abuse",1,0)</f>
        <v>0</v>
      </c>
      <c r="G71" s="3" t="n">
        <f aca="false">IF(B71="Abuse: refund without return",1,0)</f>
        <v>0</v>
      </c>
      <c r="H71" s="3" t="str">
        <f aca="false">IF(E71=1,IF(F71=1,"Correct hold","False alarm"),IF(F71=1,"Missed","Correctly left alone"))</f>
        <v>Correctly left alone</v>
      </c>
    </row>
    <row r="72" customFormat="false" ht="15" hidden="false" customHeight="false" outlineLevel="0" collapsed="false">
      <c r="A72" s="3" t="str">
        <f aca="false">'Golden Dataset'!A69</f>
        <v>R-08195</v>
      </c>
      <c r="B72" s="3" t="str">
        <f aca="false">'Golden Dataset'!I69</f>
        <v>Honest</v>
      </c>
      <c r="C72" s="3" t="n">
        <f aca="false">MIN(99,$M$5*'Golden Dataset'!E69+$M$6*'Golden Dataset'!F69+IF('Golden Dataset'!G69&lt;30,$M$7,0)+IF('Golden Dataset'!H69="No",$M$8,0))</f>
        <v>48</v>
      </c>
      <c r="D72" s="3" t="str">
        <f aca="false">IF(C72&gt;=$M$9,"Hold and review",IF(C72&gt;=$M$10,"Refund on carrier scan","Approve"))</f>
        <v>Refund on carrier scan</v>
      </c>
      <c r="E72" s="3" t="n">
        <f aca="false">IF(C72&gt;=$M$9,1,0)</f>
        <v>0</v>
      </c>
      <c r="F72" s="3" t="n">
        <f aca="false">IF(LEFT(B72,5)="Abuse",1,0)</f>
        <v>0</v>
      </c>
      <c r="G72" s="3" t="n">
        <f aca="false">IF(B72="Abuse: refund without return",1,0)</f>
        <v>0</v>
      </c>
      <c r="H72" s="3" t="str">
        <f aca="false">IF(E72=1,IF(F72=1,"Correct hold","False alarm"),IF(F72=1,"Missed","Correctly left alone"))</f>
        <v>Correctly left alone</v>
      </c>
    </row>
    <row r="73" customFormat="false" ht="15" hidden="false" customHeight="false" outlineLevel="0" collapsed="false">
      <c r="A73" s="3" t="str">
        <f aca="false">'Golden Dataset'!A70</f>
        <v>R-08163</v>
      </c>
      <c r="B73" s="3" t="str">
        <f aca="false">'Golden Dataset'!I70</f>
        <v>Abuse: refund without return</v>
      </c>
      <c r="C73" s="3" t="n">
        <f aca="false">MIN(99,$M$5*'Golden Dataset'!E70+$M$6*'Golden Dataset'!F70+IF('Golden Dataset'!G70&lt;30,$M$7,0)+IF('Golden Dataset'!H70="No",$M$8,0))</f>
        <v>99</v>
      </c>
      <c r="D73" s="3" t="str">
        <f aca="false">IF(C73&gt;=$M$9,"Hold and review",IF(C73&gt;=$M$10,"Refund on carrier scan","Approve"))</f>
        <v>Hold and review</v>
      </c>
      <c r="E73" s="3" t="n">
        <f aca="false">IF(C73&gt;=$M$9,1,0)</f>
        <v>1</v>
      </c>
      <c r="F73" s="3" t="n">
        <f aca="false">IF(LEFT(B73,5)="Abuse",1,0)</f>
        <v>1</v>
      </c>
      <c r="G73" s="3" t="n">
        <f aca="false">IF(B73="Abuse: refund without return",1,0)</f>
        <v>1</v>
      </c>
      <c r="H73" s="3" t="str">
        <f aca="false">IF(E73=1,IF(F73=1,"Correct hold","False alarm"),IF(F73=1,"Missed","Correctly left alone"))</f>
        <v>Correct hold</v>
      </c>
    </row>
    <row r="74" customFormat="false" ht="15" hidden="false" customHeight="false" outlineLevel="0" collapsed="false">
      <c r="A74" s="3" t="str">
        <f aca="false">'Golden Dataset'!A71</f>
        <v>R-08049</v>
      </c>
      <c r="B74" s="3" t="str">
        <f aca="false">'Golden Dataset'!I71</f>
        <v>Honest</v>
      </c>
      <c r="C74" s="3" t="n">
        <f aca="false">MIN(99,$M$5*'Golden Dataset'!E71+$M$6*'Golden Dataset'!F71+IF('Golden Dataset'!G71&lt;30,$M$7,0)+IF('Golden Dataset'!H71="No",$M$8,0))</f>
        <v>12</v>
      </c>
      <c r="D74" s="3" t="str">
        <f aca="false">IF(C74&gt;=$M$9,"Hold and review",IF(C74&gt;=$M$10,"Refund on carrier scan","Approve"))</f>
        <v>Approve</v>
      </c>
      <c r="E74" s="3" t="n">
        <f aca="false">IF(C74&gt;=$M$9,1,0)</f>
        <v>0</v>
      </c>
      <c r="F74" s="3" t="n">
        <f aca="false">IF(LEFT(B74,5)="Abuse",1,0)</f>
        <v>0</v>
      </c>
      <c r="G74" s="3" t="n">
        <f aca="false">IF(B74="Abuse: refund without return",1,0)</f>
        <v>0</v>
      </c>
      <c r="H74" s="3" t="str">
        <f aca="false">IF(E74=1,IF(F74=1,"Correct hold","False alarm"),IF(F74=1,"Missed","Correctly left alone"))</f>
        <v>Correctly left alone</v>
      </c>
    </row>
    <row r="75" customFormat="false" ht="15" hidden="false" customHeight="false" outlineLevel="0" collapsed="false">
      <c r="A75" s="3" t="str">
        <f aca="false">'Golden Dataset'!A72</f>
        <v>R-08032</v>
      </c>
      <c r="B75" s="3" t="str">
        <f aca="false">'Golden Dataset'!I72</f>
        <v>Abuse: repeated damage claims</v>
      </c>
      <c r="C75" s="3" t="n">
        <f aca="false">MIN(99,$M$5*'Golden Dataset'!E72+$M$6*'Golden Dataset'!F72+IF('Golden Dataset'!G72&lt;30,$M$7,0)+IF('Golden Dataset'!H72="No",$M$8,0))</f>
        <v>30</v>
      </c>
      <c r="D75" s="3" t="str">
        <f aca="false">IF(C75&gt;=$M$9,"Hold and review",IF(C75&gt;=$M$10,"Refund on carrier scan","Approve"))</f>
        <v>Refund on carrier scan</v>
      </c>
      <c r="E75" s="3" t="n">
        <f aca="false">IF(C75&gt;=$M$9,1,0)</f>
        <v>0</v>
      </c>
      <c r="F75" s="3" t="n">
        <f aca="false">IF(LEFT(B75,5)="Abuse",1,0)</f>
        <v>1</v>
      </c>
      <c r="G75" s="3" t="n">
        <f aca="false">IF(B75="Abuse: refund without return",1,0)</f>
        <v>0</v>
      </c>
      <c r="H75" s="3" t="str">
        <f aca="false">IF(E75=1,IF(F75=1,"Correct hold","False alarm"),IF(F75=1,"Missed","Correctly left alone"))</f>
        <v>Missed</v>
      </c>
    </row>
    <row r="76" customFormat="false" ht="15" hidden="false" customHeight="false" outlineLevel="0" collapsed="false">
      <c r="A76" s="3" t="str">
        <f aca="false">'Golden Dataset'!A73</f>
        <v>R-08122</v>
      </c>
      <c r="B76" s="3" t="str">
        <f aca="false">'Golden Dataset'!I73</f>
        <v>Honest</v>
      </c>
      <c r="C76" s="3" t="n">
        <f aca="false">MIN(99,$M$5*'Golden Dataset'!E73+$M$6*'Golden Dataset'!F73+IF('Golden Dataset'!G73&lt;30,$M$7,0)+IF('Golden Dataset'!H73="No",$M$8,0))</f>
        <v>0</v>
      </c>
      <c r="D76" s="3" t="str">
        <f aca="false">IF(C76&gt;=$M$9,"Hold and review",IF(C76&gt;=$M$10,"Refund on carrier scan","Approve"))</f>
        <v>Approve</v>
      </c>
      <c r="E76" s="3" t="n">
        <f aca="false">IF(C76&gt;=$M$9,1,0)</f>
        <v>0</v>
      </c>
      <c r="F76" s="3" t="n">
        <f aca="false">IF(LEFT(B76,5)="Abuse",1,0)</f>
        <v>0</v>
      </c>
      <c r="G76" s="3" t="n">
        <f aca="false">IF(B76="Abuse: refund without return",1,0)</f>
        <v>0</v>
      </c>
      <c r="H76" s="3" t="str">
        <f aca="false">IF(E76=1,IF(F76=1,"Correct hold","False alarm"),IF(F76=1,"Missed","Correctly left alone"))</f>
        <v>Correctly left alone</v>
      </c>
    </row>
    <row r="77" customFormat="false" ht="15" hidden="false" customHeight="false" outlineLevel="0" collapsed="false">
      <c r="A77" s="3" t="str">
        <f aca="false">'Golden Dataset'!A74</f>
        <v>R-08090</v>
      </c>
      <c r="B77" s="3" t="str">
        <f aca="false">'Golden Dataset'!I74</f>
        <v>Honest</v>
      </c>
      <c r="C77" s="3" t="n">
        <f aca="false">MIN(99,$M$5*'Golden Dataset'!E74+$M$6*'Golden Dataset'!F74+IF('Golden Dataset'!G74&lt;30,$M$7,0)+IF('Golden Dataset'!H74="No",$M$8,0))</f>
        <v>30</v>
      </c>
      <c r="D77" s="3" t="str">
        <f aca="false">IF(C77&gt;=$M$9,"Hold and review",IF(C77&gt;=$M$10,"Refund on carrier scan","Approve"))</f>
        <v>Refund on carrier scan</v>
      </c>
      <c r="E77" s="3" t="n">
        <f aca="false">IF(C77&gt;=$M$9,1,0)</f>
        <v>0</v>
      </c>
      <c r="F77" s="3" t="n">
        <f aca="false">IF(LEFT(B77,5)="Abuse",1,0)</f>
        <v>0</v>
      </c>
      <c r="G77" s="3" t="n">
        <f aca="false">IF(B77="Abuse: refund without return",1,0)</f>
        <v>0</v>
      </c>
      <c r="H77" s="3" t="str">
        <f aca="false">IF(E77=1,IF(F77=1,"Correct hold","False alarm"),IF(F77=1,"Missed","Correctly left alone"))</f>
        <v>Correctly left alone</v>
      </c>
    </row>
    <row r="78" customFormat="false" ht="15" hidden="false" customHeight="false" outlineLevel="0" collapsed="false">
      <c r="A78" s="3" t="str">
        <f aca="false">'Golden Dataset'!A75</f>
        <v>R-08043</v>
      </c>
      <c r="B78" s="3" t="str">
        <f aca="false">'Golden Dataset'!I75</f>
        <v>Abuse: repeated damage claims</v>
      </c>
      <c r="C78" s="3" t="n">
        <f aca="false">MIN(99,$M$5*'Golden Dataset'!E75+$M$6*'Golden Dataset'!F75+IF('Golden Dataset'!G75&lt;30,$M$7,0)+IF('Golden Dataset'!H75="No",$M$8,0))</f>
        <v>30</v>
      </c>
      <c r="D78" s="3" t="str">
        <f aca="false">IF(C78&gt;=$M$9,"Hold and review",IF(C78&gt;=$M$10,"Refund on carrier scan","Approve"))</f>
        <v>Refund on carrier scan</v>
      </c>
      <c r="E78" s="3" t="n">
        <f aca="false">IF(C78&gt;=$M$9,1,0)</f>
        <v>0</v>
      </c>
      <c r="F78" s="3" t="n">
        <f aca="false">IF(LEFT(B78,5)="Abuse",1,0)</f>
        <v>1</v>
      </c>
      <c r="G78" s="3" t="n">
        <f aca="false">IF(B78="Abuse: refund without return",1,0)</f>
        <v>0</v>
      </c>
      <c r="H78" s="3" t="str">
        <f aca="false">IF(E78=1,IF(F78=1,"Correct hold","False alarm"),IF(F78=1,"Missed","Correctly left alone"))</f>
        <v>Missed</v>
      </c>
    </row>
    <row r="79" customFormat="false" ht="15" hidden="false" customHeight="false" outlineLevel="0" collapsed="false">
      <c r="A79" s="3" t="str">
        <f aca="false">'Golden Dataset'!A76</f>
        <v>R-08099</v>
      </c>
      <c r="B79" s="3" t="str">
        <f aca="false">'Golden Dataset'!I76</f>
        <v>Honest</v>
      </c>
      <c r="C79" s="3" t="n">
        <f aca="false">MIN(99,$M$5*'Golden Dataset'!E76+$M$6*'Golden Dataset'!F76+IF('Golden Dataset'!G76&lt;30,$M$7,0)+IF('Golden Dataset'!H76="No",$M$8,0))</f>
        <v>0</v>
      </c>
      <c r="D79" s="3" t="str">
        <f aca="false">IF(C79&gt;=$M$9,"Hold and review",IF(C79&gt;=$M$10,"Refund on carrier scan","Approve"))</f>
        <v>Approve</v>
      </c>
      <c r="E79" s="3" t="n">
        <f aca="false">IF(C79&gt;=$M$9,1,0)</f>
        <v>0</v>
      </c>
      <c r="F79" s="3" t="n">
        <f aca="false">IF(LEFT(B79,5)="Abuse",1,0)</f>
        <v>0</v>
      </c>
      <c r="G79" s="3" t="n">
        <f aca="false">IF(B79="Abuse: refund without return",1,0)</f>
        <v>0</v>
      </c>
      <c r="H79" s="3" t="str">
        <f aca="false">IF(E79=1,IF(F79=1,"Correct hold","False alarm"),IF(F79=1,"Missed","Correctly left alone"))</f>
        <v>Correctly left alone</v>
      </c>
    </row>
    <row r="80" customFormat="false" ht="15" hidden="false" customHeight="false" outlineLevel="0" collapsed="false">
      <c r="A80" s="3" t="str">
        <f aca="false">'Golden Dataset'!A77</f>
        <v>R-08027</v>
      </c>
      <c r="B80" s="3" t="str">
        <f aca="false">'Golden Dataset'!I77</f>
        <v>Honest</v>
      </c>
      <c r="C80" s="3" t="n">
        <f aca="false">MIN(99,$M$5*'Golden Dataset'!E77+$M$6*'Golden Dataset'!F77+IF('Golden Dataset'!G77&lt;30,$M$7,0)+IF('Golden Dataset'!H77="No",$M$8,0))</f>
        <v>0</v>
      </c>
      <c r="D80" s="3" t="str">
        <f aca="false">IF(C80&gt;=$M$9,"Hold and review",IF(C80&gt;=$M$10,"Refund on carrier scan","Approve"))</f>
        <v>Approve</v>
      </c>
      <c r="E80" s="3" t="n">
        <f aca="false">IF(C80&gt;=$M$9,1,0)</f>
        <v>0</v>
      </c>
      <c r="F80" s="3" t="n">
        <f aca="false">IF(LEFT(B80,5)="Abuse",1,0)</f>
        <v>0</v>
      </c>
      <c r="G80" s="3" t="n">
        <f aca="false">IF(B80="Abuse: refund without return",1,0)</f>
        <v>0</v>
      </c>
      <c r="H80" s="3" t="str">
        <f aca="false">IF(E80=1,IF(F80=1,"Correct hold","False alarm"),IF(F80=1,"Missed","Correctly left alone"))</f>
        <v>Correctly left alone</v>
      </c>
    </row>
    <row r="81" customFormat="false" ht="15" hidden="false" customHeight="false" outlineLevel="0" collapsed="false">
      <c r="A81" s="3" t="str">
        <f aca="false">'Golden Dataset'!A78</f>
        <v>R-08173</v>
      </c>
      <c r="B81" s="3" t="str">
        <f aca="false">'Golden Dataset'!I78</f>
        <v>Abuse: refund without return</v>
      </c>
      <c r="C81" s="3" t="n">
        <f aca="false">MIN(99,$M$5*'Golden Dataset'!E78+$M$6*'Golden Dataset'!F78+IF('Golden Dataset'!G78&lt;30,$M$7,0)+IF('Golden Dataset'!H78="No",$M$8,0))</f>
        <v>52</v>
      </c>
      <c r="D81" s="3" t="str">
        <f aca="false">IF(C81&gt;=$M$9,"Hold and review",IF(C81&gt;=$M$10,"Refund on carrier scan","Approve"))</f>
        <v>Refund on carrier scan</v>
      </c>
      <c r="E81" s="3" t="n">
        <f aca="false">IF(C81&gt;=$M$9,1,0)</f>
        <v>0</v>
      </c>
      <c r="F81" s="3" t="n">
        <f aca="false">IF(LEFT(B81,5)="Abuse",1,0)</f>
        <v>1</v>
      </c>
      <c r="G81" s="3" t="n">
        <f aca="false">IF(B81="Abuse: refund without return",1,0)</f>
        <v>1</v>
      </c>
      <c r="H81" s="3" t="str">
        <f aca="false">IF(E81=1,IF(F81=1,"Correct hold","False alarm"),IF(F81=1,"Missed","Correctly left alone"))</f>
        <v>Missed</v>
      </c>
    </row>
    <row r="82" customFormat="false" ht="15" hidden="false" customHeight="false" outlineLevel="0" collapsed="false">
      <c r="A82" s="3" t="str">
        <f aca="false">'Golden Dataset'!A79</f>
        <v>R-08034</v>
      </c>
      <c r="B82" s="3" t="str">
        <f aca="false">'Golden Dataset'!I79</f>
        <v>Abuse: refund without return</v>
      </c>
      <c r="C82" s="3" t="n">
        <f aca="false">MIN(99,$M$5*'Golden Dataset'!E79+$M$6*'Golden Dataset'!F79+IF('Golden Dataset'!G79&lt;30,$M$7,0)+IF('Golden Dataset'!H79="No",$M$8,0))</f>
        <v>74</v>
      </c>
      <c r="D82" s="3" t="str">
        <f aca="false">IF(C82&gt;=$M$9,"Hold and review",IF(C82&gt;=$M$10,"Refund on carrier scan","Approve"))</f>
        <v>Hold and review</v>
      </c>
      <c r="E82" s="3" t="n">
        <f aca="false">IF(C82&gt;=$M$9,1,0)</f>
        <v>1</v>
      </c>
      <c r="F82" s="3" t="n">
        <f aca="false">IF(LEFT(B82,5)="Abuse",1,0)</f>
        <v>1</v>
      </c>
      <c r="G82" s="3" t="n">
        <f aca="false">IF(B82="Abuse: refund without return",1,0)</f>
        <v>1</v>
      </c>
      <c r="H82" s="3" t="str">
        <f aca="false">IF(E82=1,IF(F82=1,"Correct hold","False alarm"),IF(F82=1,"Missed","Correctly left alone"))</f>
        <v>Correct hold</v>
      </c>
    </row>
    <row r="83" customFormat="false" ht="15" hidden="false" customHeight="false" outlineLevel="0" collapsed="false">
      <c r="A83" s="3" t="str">
        <f aca="false">'Golden Dataset'!A80</f>
        <v>R-08194</v>
      </c>
      <c r="B83" s="3" t="str">
        <f aca="false">'Golden Dataset'!I80</f>
        <v>Honest: carrier lost parcel</v>
      </c>
      <c r="C83" s="3" t="n">
        <f aca="false">MIN(99,$M$5*'Golden Dataset'!E80+$M$6*'Golden Dataset'!F80+IF('Golden Dataset'!G80&lt;30,$M$7,0)+IF('Golden Dataset'!H80="No",$M$8,0))</f>
        <v>8</v>
      </c>
      <c r="D83" s="3" t="str">
        <f aca="false">IF(C83&gt;=$M$9,"Hold and review",IF(C83&gt;=$M$10,"Refund on carrier scan","Approve"))</f>
        <v>Approve</v>
      </c>
      <c r="E83" s="3" t="n">
        <f aca="false">IF(C83&gt;=$M$9,1,0)</f>
        <v>0</v>
      </c>
      <c r="F83" s="3" t="n">
        <f aca="false">IF(LEFT(B83,5)="Abuse",1,0)</f>
        <v>0</v>
      </c>
      <c r="G83" s="3" t="n">
        <f aca="false">IF(B83="Abuse: refund without return",1,0)</f>
        <v>0</v>
      </c>
      <c r="H83" s="3" t="str">
        <f aca="false">IF(E83=1,IF(F83=1,"Correct hold","False alarm"),IF(F83=1,"Missed","Correctly left alone"))</f>
        <v>Correctly left alone</v>
      </c>
    </row>
    <row r="84" customFormat="false" ht="15" hidden="false" customHeight="false" outlineLevel="0" collapsed="false">
      <c r="A84" s="3" t="str">
        <f aca="false">'Golden Dataset'!A81</f>
        <v>R-08001</v>
      </c>
      <c r="B84" s="3" t="str">
        <f aca="false">'Golden Dataset'!I81</f>
        <v>Honest</v>
      </c>
      <c r="C84" s="3" t="n">
        <f aca="false">MIN(99,$M$5*'Golden Dataset'!E81+$M$6*'Golden Dataset'!F81+IF('Golden Dataset'!G81&lt;30,$M$7,0)+IF('Golden Dataset'!H81="No",$M$8,0))</f>
        <v>0</v>
      </c>
      <c r="D84" s="3" t="str">
        <f aca="false">IF(C84&gt;=$M$9,"Hold and review",IF(C84&gt;=$M$10,"Refund on carrier scan","Approve"))</f>
        <v>Approve</v>
      </c>
      <c r="E84" s="3" t="n">
        <f aca="false">IF(C84&gt;=$M$9,1,0)</f>
        <v>0</v>
      </c>
      <c r="F84" s="3" t="n">
        <f aca="false">IF(LEFT(B84,5)="Abuse",1,0)</f>
        <v>0</v>
      </c>
      <c r="G84" s="3" t="n">
        <f aca="false">IF(B84="Abuse: refund without return",1,0)</f>
        <v>0</v>
      </c>
      <c r="H84" s="3" t="str">
        <f aca="false">IF(E84=1,IF(F84=1,"Correct hold","False alarm"),IF(F84=1,"Missed","Correctly left alone"))</f>
        <v>Correctly left alone</v>
      </c>
    </row>
    <row r="85" customFormat="false" ht="15" hidden="false" customHeight="false" outlineLevel="0" collapsed="false">
      <c r="A85" s="3" t="str">
        <f aca="false">'Golden Dataset'!A82</f>
        <v>R-08130</v>
      </c>
      <c r="B85" s="3" t="str">
        <f aca="false">'Golden Dataset'!I82</f>
        <v>Honest</v>
      </c>
      <c r="C85" s="3" t="n">
        <f aca="false">MIN(99,$M$5*'Golden Dataset'!E82+$M$6*'Golden Dataset'!F82+IF('Golden Dataset'!G82&lt;30,$M$7,0)+IF('Golden Dataset'!H82="No",$M$8,0))</f>
        <v>0</v>
      </c>
      <c r="D85" s="3" t="str">
        <f aca="false">IF(C85&gt;=$M$9,"Hold and review",IF(C85&gt;=$M$10,"Refund on carrier scan","Approve"))</f>
        <v>Approve</v>
      </c>
      <c r="E85" s="3" t="n">
        <f aca="false">IF(C85&gt;=$M$9,1,0)</f>
        <v>0</v>
      </c>
      <c r="F85" s="3" t="n">
        <f aca="false">IF(LEFT(B85,5)="Abuse",1,0)</f>
        <v>0</v>
      </c>
      <c r="G85" s="3" t="n">
        <f aca="false">IF(B85="Abuse: refund without return",1,0)</f>
        <v>0</v>
      </c>
      <c r="H85" s="3" t="str">
        <f aca="false">IF(E85=1,IF(F85=1,"Correct hold","False alarm"),IF(F85=1,"Missed","Correctly left alone"))</f>
        <v>Correctly left alone</v>
      </c>
    </row>
    <row r="86" customFormat="false" ht="15" hidden="false" customHeight="false" outlineLevel="0" collapsed="false">
      <c r="A86" s="3" t="str">
        <f aca="false">'Golden Dataset'!A83</f>
        <v>R-08047</v>
      </c>
      <c r="B86" s="3" t="str">
        <f aca="false">'Golden Dataset'!I83</f>
        <v>Honest</v>
      </c>
      <c r="C86" s="3" t="n">
        <f aca="false">MIN(99,$M$5*'Golden Dataset'!E83+$M$6*'Golden Dataset'!F83+IF('Golden Dataset'!G83&lt;30,$M$7,0)+IF('Golden Dataset'!H83="No",$M$8,0))</f>
        <v>0</v>
      </c>
      <c r="D86" s="3" t="str">
        <f aca="false">IF(C86&gt;=$M$9,"Hold and review",IF(C86&gt;=$M$10,"Refund on carrier scan","Approve"))</f>
        <v>Approve</v>
      </c>
      <c r="E86" s="3" t="n">
        <f aca="false">IF(C86&gt;=$M$9,1,0)</f>
        <v>0</v>
      </c>
      <c r="F86" s="3" t="n">
        <f aca="false">IF(LEFT(B86,5)="Abuse",1,0)</f>
        <v>0</v>
      </c>
      <c r="G86" s="3" t="n">
        <f aca="false">IF(B86="Abuse: refund without return",1,0)</f>
        <v>0</v>
      </c>
      <c r="H86" s="3" t="str">
        <f aca="false">IF(E86=1,IF(F86=1,"Correct hold","False alarm"),IF(F86=1,"Missed","Correctly left alone"))</f>
        <v>Correctly left alone</v>
      </c>
    </row>
    <row r="87" customFormat="false" ht="15" hidden="false" customHeight="false" outlineLevel="0" collapsed="false">
      <c r="A87" s="3" t="str">
        <f aca="false">'Golden Dataset'!A84</f>
        <v>R-08112</v>
      </c>
      <c r="B87" s="3" t="str">
        <f aca="false">'Golden Dataset'!I84</f>
        <v>Abuse: reseller ring</v>
      </c>
      <c r="C87" s="3" t="n">
        <f aca="false">MIN(99,$M$5*'Golden Dataset'!E84+$M$6*'Golden Dataset'!F84+IF('Golden Dataset'!G84&lt;30,$M$7,0)+IF('Golden Dataset'!H84="No",$M$8,0))</f>
        <v>99</v>
      </c>
      <c r="D87" s="3" t="str">
        <f aca="false">IF(C87&gt;=$M$9,"Hold and review",IF(C87&gt;=$M$10,"Refund on carrier scan","Approve"))</f>
        <v>Hold and review</v>
      </c>
      <c r="E87" s="3" t="n">
        <f aca="false">IF(C87&gt;=$M$9,1,0)</f>
        <v>1</v>
      </c>
      <c r="F87" s="3" t="n">
        <f aca="false">IF(LEFT(B87,5)="Abuse",1,0)</f>
        <v>1</v>
      </c>
      <c r="G87" s="3" t="n">
        <f aca="false">IF(B87="Abuse: refund without return",1,0)</f>
        <v>0</v>
      </c>
      <c r="H87" s="3" t="str">
        <f aca="false">IF(E87=1,IF(F87=1,"Correct hold","False alarm"),IF(F87=1,"Missed","Correctly left alone"))</f>
        <v>Correct hold</v>
      </c>
    </row>
    <row r="88" customFormat="false" ht="15" hidden="false" customHeight="false" outlineLevel="0" collapsed="false">
      <c r="A88" s="3" t="str">
        <f aca="false">'Golden Dataset'!A85</f>
        <v>R-08038</v>
      </c>
      <c r="B88" s="3" t="str">
        <f aca="false">'Golden Dataset'!I85</f>
        <v>Honest</v>
      </c>
      <c r="C88" s="3" t="n">
        <f aca="false">MIN(99,$M$5*'Golden Dataset'!E85+$M$6*'Golden Dataset'!F85+IF('Golden Dataset'!G85&lt;30,$M$7,0)+IF('Golden Dataset'!H85="No",$M$8,0))</f>
        <v>0</v>
      </c>
      <c r="D88" s="3" t="str">
        <f aca="false">IF(C88&gt;=$M$9,"Hold and review",IF(C88&gt;=$M$10,"Refund on carrier scan","Approve"))</f>
        <v>Approve</v>
      </c>
      <c r="E88" s="3" t="n">
        <f aca="false">IF(C88&gt;=$M$9,1,0)</f>
        <v>0</v>
      </c>
      <c r="F88" s="3" t="n">
        <f aca="false">IF(LEFT(B88,5)="Abuse",1,0)</f>
        <v>0</v>
      </c>
      <c r="G88" s="3" t="n">
        <f aca="false">IF(B88="Abuse: refund without return",1,0)</f>
        <v>0</v>
      </c>
      <c r="H88" s="3" t="str">
        <f aca="false">IF(E88=1,IF(F88=1,"Correct hold","False alarm"),IF(F88=1,"Missed","Correctly left alone"))</f>
        <v>Correctly left alone</v>
      </c>
    </row>
    <row r="89" customFormat="false" ht="15" hidden="false" customHeight="false" outlineLevel="0" collapsed="false">
      <c r="A89" s="3" t="str">
        <f aca="false">'Golden Dataset'!A86</f>
        <v>R-08111</v>
      </c>
      <c r="B89" s="3" t="str">
        <f aca="false">'Golden Dataset'!I86</f>
        <v>Honest</v>
      </c>
      <c r="C89" s="3" t="n">
        <f aca="false">MIN(99,$M$5*'Golden Dataset'!E86+$M$6*'Golden Dataset'!F86+IF('Golden Dataset'!G86&lt;30,$M$7,0)+IF('Golden Dataset'!H86="No",$M$8,0))</f>
        <v>0</v>
      </c>
      <c r="D89" s="3" t="str">
        <f aca="false">IF(C89&gt;=$M$9,"Hold and review",IF(C89&gt;=$M$10,"Refund on carrier scan","Approve"))</f>
        <v>Approve</v>
      </c>
      <c r="E89" s="3" t="n">
        <f aca="false">IF(C89&gt;=$M$9,1,0)</f>
        <v>0</v>
      </c>
      <c r="F89" s="3" t="n">
        <f aca="false">IF(LEFT(B89,5)="Abuse",1,0)</f>
        <v>0</v>
      </c>
      <c r="G89" s="3" t="n">
        <f aca="false">IF(B89="Abuse: refund without return",1,0)</f>
        <v>0</v>
      </c>
      <c r="H89" s="3" t="str">
        <f aca="false">IF(E89=1,IF(F89=1,"Correct hold","False alarm"),IF(F89=1,"Missed","Correctly left alone"))</f>
        <v>Correctly left alone</v>
      </c>
    </row>
    <row r="90" customFormat="false" ht="15" hidden="false" customHeight="false" outlineLevel="0" collapsed="false">
      <c r="A90" s="3" t="str">
        <f aca="false">'Golden Dataset'!A87</f>
        <v>R-08015</v>
      </c>
      <c r="B90" s="3" t="str">
        <f aca="false">'Golden Dataset'!I87</f>
        <v>Honest</v>
      </c>
      <c r="C90" s="3" t="n">
        <f aca="false">MIN(99,$M$5*'Golden Dataset'!E87+$M$6*'Golden Dataset'!F87+IF('Golden Dataset'!G87&lt;30,$M$7,0)+IF('Golden Dataset'!H87="No",$M$8,0))</f>
        <v>0</v>
      </c>
      <c r="D90" s="3" t="str">
        <f aca="false">IF(C90&gt;=$M$9,"Hold and review",IF(C90&gt;=$M$10,"Refund on carrier scan","Approve"))</f>
        <v>Approve</v>
      </c>
      <c r="E90" s="3" t="n">
        <f aca="false">IF(C90&gt;=$M$9,1,0)</f>
        <v>0</v>
      </c>
      <c r="F90" s="3" t="n">
        <f aca="false">IF(LEFT(B90,5)="Abuse",1,0)</f>
        <v>0</v>
      </c>
      <c r="G90" s="3" t="n">
        <f aca="false">IF(B90="Abuse: refund without return",1,0)</f>
        <v>0</v>
      </c>
      <c r="H90" s="3" t="str">
        <f aca="false">IF(E90=1,IF(F90=1,"Correct hold","False alarm"),IF(F90=1,"Missed","Correctly left alone"))</f>
        <v>Correctly left alone</v>
      </c>
    </row>
    <row r="91" customFormat="false" ht="15" hidden="false" customHeight="false" outlineLevel="0" collapsed="false">
      <c r="A91" s="3" t="str">
        <f aca="false">'Golden Dataset'!A88</f>
        <v>R-08020</v>
      </c>
      <c r="B91" s="3" t="str">
        <f aca="false">'Golden Dataset'!I88</f>
        <v>Honest</v>
      </c>
      <c r="C91" s="3" t="n">
        <f aca="false">MIN(99,$M$5*'Golden Dataset'!E88+$M$6*'Golden Dataset'!F88+IF('Golden Dataset'!G88&lt;30,$M$7,0)+IF('Golden Dataset'!H88="No",$M$8,0))</f>
        <v>52</v>
      </c>
      <c r="D91" s="3" t="str">
        <f aca="false">IF(C91&gt;=$M$9,"Hold and review",IF(C91&gt;=$M$10,"Refund on carrier scan","Approve"))</f>
        <v>Refund on carrier scan</v>
      </c>
      <c r="E91" s="3" t="n">
        <f aca="false">IF(C91&gt;=$M$9,1,0)</f>
        <v>0</v>
      </c>
      <c r="F91" s="3" t="n">
        <f aca="false">IF(LEFT(B91,5)="Abuse",1,0)</f>
        <v>0</v>
      </c>
      <c r="G91" s="3" t="n">
        <f aca="false">IF(B91="Abuse: refund without return",1,0)</f>
        <v>0</v>
      </c>
      <c r="H91" s="3" t="str">
        <f aca="false">IF(E91=1,IF(F91=1,"Correct hold","False alarm"),IF(F91=1,"Missed","Correctly left alone"))</f>
        <v>Correctly left alone</v>
      </c>
    </row>
    <row r="92" customFormat="false" ht="15" hidden="false" customHeight="false" outlineLevel="0" collapsed="false">
      <c r="A92" s="3" t="str">
        <f aca="false">'Golden Dataset'!A89</f>
        <v>R-08085</v>
      </c>
      <c r="B92" s="3" t="str">
        <f aca="false">'Golden Dataset'!I89</f>
        <v>Abuse: wear and return</v>
      </c>
      <c r="C92" s="3" t="n">
        <f aca="false">MIN(99,$M$5*'Golden Dataset'!E89+$M$6*'Golden Dataset'!F89+IF('Golden Dataset'!G89&lt;30,$M$7,0)+IF('Golden Dataset'!H89="No",$M$8,0))</f>
        <v>0</v>
      </c>
      <c r="D92" s="3" t="str">
        <f aca="false">IF(C92&gt;=$M$9,"Hold and review",IF(C92&gt;=$M$10,"Refund on carrier scan","Approve"))</f>
        <v>Approve</v>
      </c>
      <c r="E92" s="3" t="n">
        <f aca="false">IF(C92&gt;=$M$9,1,0)</f>
        <v>0</v>
      </c>
      <c r="F92" s="3" t="n">
        <f aca="false">IF(LEFT(B92,5)="Abuse",1,0)</f>
        <v>1</v>
      </c>
      <c r="G92" s="3" t="n">
        <f aca="false">IF(B92="Abuse: refund without return",1,0)</f>
        <v>0</v>
      </c>
      <c r="H92" s="3" t="str">
        <f aca="false">IF(E92=1,IF(F92=1,"Correct hold","False alarm"),IF(F92=1,"Missed","Correctly left alone"))</f>
        <v>Missed</v>
      </c>
    </row>
    <row r="93" customFormat="false" ht="15" hidden="false" customHeight="false" outlineLevel="0" collapsed="false">
      <c r="A93" s="3" t="str">
        <f aca="false">'Golden Dataset'!A90</f>
        <v>R-08193</v>
      </c>
      <c r="B93" s="3" t="str">
        <f aca="false">'Golden Dataset'!I90</f>
        <v>Honest</v>
      </c>
      <c r="C93" s="3" t="n">
        <f aca="false">MIN(99,$M$5*'Golden Dataset'!E90+$M$6*'Golden Dataset'!F90+IF('Golden Dataset'!G90&lt;30,$M$7,0)+IF('Golden Dataset'!H90="No",$M$8,0))</f>
        <v>0</v>
      </c>
      <c r="D93" s="3" t="str">
        <f aca="false">IF(C93&gt;=$M$9,"Hold and review",IF(C93&gt;=$M$10,"Refund on carrier scan","Approve"))</f>
        <v>Approve</v>
      </c>
      <c r="E93" s="3" t="n">
        <f aca="false">IF(C93&gt;=$M$9,1,0)</f>
        <v>0</v>
      </c>
      <c r="F93" s="3" t="n">
        <f aca="false">IF(LEFT(B93,5)="Abuse",1,0)</f>
        <v>0</v>
      </c>
      <c r="G93" s="3" t="n">
        <f aca="false">IF(B93="Abuse: refund without return",1,0)</f>
        <v>0</v>
      </c>
      <c r="H93" s="3" t="str">
        <f aca="false">IF(E93=1,IF(F93=1,"Correct hold","False alarm"),IF(F93=1,"Missed","Correctly left alone"))</f>
        <v>Correctly left alone</v>
      </c>
    </row>
    <row r="94" customFormat="false" ht="15" hidden="false" customHeight="false" outlineLevel="0" collapsed="false">
      <c r="A94" s="3" t="str">
        <f aca="false">'Golden Dataset'!A91</f>
        <v>R-08156</v>
      </c>
      <c r="B94" s="3" t="str">
        <f aca="false">'Golden Dataset'!I91</f>
        <v>Honest</v>
      </c>
      <c r="C94" s="3" t="n">
        <f aca="false">MIN(99,$M$5*'Golden Dataset'!E91+$M$6*'Golden Dataset'!F91+IF('Golden Dataset'!G91&lt;30,$M$7,0)+IF('Golden Dataset'!H91="No",$M$8,0))</f>
        <v>64</v>
      </c>
      <c r="D94" s="3" t="str">
        <f aca="false">IF(C94&gt;=$M$9,"Hold and review",IF(C94&gt;=$M$10,"Refund on carrier scan","Approve"))</f>
        <v>Hold and review</v>
      </c>
      <c r="E94" s="3" t="n">
        <f aca="false">IF(C94&gt;=$M$9,1,0)</f>
        <v>1</v>
      </c>
      <c r="F94" s="3" t="n">
        <f aca="false">IF(LEFT(B94,5)="Abuse",1,0)</f>
        <v>0</v>
      </c>
      <c r="G94" s="3" t="n">
        <f aca="false">IF(B94="Abuse: refund without return",1,0)</f>
        <v>0</v>
      </c>
      <c r="H94" s="3" t="str">
        <f aca="false">IF(E94=1,IF(F94=1,"Correct hold","False alarm"),IF(F94=1,"Missed","Correctly left alone"))</f>
        <v>False alarm</v>
      </c>
    </row>
    <row r="95" customFormat="false" ht="15" hidden="false" customHeight="false" outlineLevel="0" collapsed="false">
      <c r="A95" s="3" t="str">
        <f aca="false">'Golden Dataset'!A92</f>
        <v>R-08053</v>
      </c>
      <c r="B95" s="3" t="str">
        <f aca="false">'Golden Dataset'!I92</f>
        <v>Honest</v>
      </c>
      <c r="C95" s="3" t="n">
        <f aca="false">MIN(99,$M$5*'Golden Dataset'!E92+$M$6*'Golden Dataset'!F92+IF('Golden Dataset'!G92&lt;30,$M$7,0)+IF('Golden Dataset'!H92="No",$M$8,0))</f>
        <v>0</v>
      </c>
      <c r="D95" s="3" t="str">
        <f aca="false">IF(C95&gt;=$M$9,"Hold and review",IF(C95&gt;=$M$10,"Refund on carrier scan","Approve"))</f>
        <v>Approve</v>
      </c>
      <c r="E95" s="3" t="n">
        <f aca="false">IF(C95&gt;=$M$9,1,0)</f>
        <v>0</v>
      </c>
      <c r="F95" s="3" t="n">
        <f aca="false">IF(LEFT(B95,5)="Abuse",1,0)</f>
        <v>0</v>
      </c>
      <c r="G95" s="3" t="n">
        <f aca="false">IF(B95="Abuse: refund without return",1,0)</f>
        <v>0</v>
      </c>
      <c r="H95" s="3" t="str">
        <f aca="false">IF(E95=1,IF(F95=1,"Correct hold","False alarm"),IF(F95=1,"Missed","Correctly left alone"))</f>
        <v>Correctly left alone</v>
      </c>
    </row>
    <row r="96" customFormat="false" ht="15" hidden="false" customHeight="false" outlineLevel="0" collapsed="false">
      <c r="A96" s="3" t="str">
        <f aca="false">'Golden Dataset'!A93</f>
        <v>R-08110</v>
      </c>
      <c r="B96" s="3" t="str">
        <f aca="false">'Golden Dataset'!I93</f>
        <v>Honest</v>
      </c>
      <c r="C96" s="3" t="n">
        <f aca="false">MIN(99,$M$5*'Golden Dataset'!E93+$M$6*'Golden Dataset'!F93+IF('Golden Dataset'!G93&lt;30,$M$7,0)+IF('Golden Dataset'!H93="No",$M$8,0))</f>
        <v>0</v>
      </c>
      <c r="D96" s="3" t="str">
        <f aca="false">IF(C96&gt;=$M$9,"Hold and review",IF(C96&gt;=$M$10,"Refund on carrier scan","Approve"))</f>
        <v>Approve</v>
      </c>
      <c r="E96" s="3" t="n">
        <f aca="false">IF(C96&gt;=$M$9,1,0)</f>
        <v>0</v>
      </c>
      <c r="F96" s="3" t="n">
        <f aca="false">IF(LEFT(B96,5)="Abuse",1,0)</f>
        <v>0</v>
      </c>
      <c r="G96" s="3" t="n">
        <f aca="false">IF(B96="Abuse: refund without return",1,0)</f>
        <v>0</v>
      </c>
      <c r="H96" s="3" t="str">
        <f aca="false">IF(E96=1,IF(F96=1,"Correct hold","False alarm"),IF(F96=1,"Missed","Correctly left alone"))</f>
        <v>Correctly left alone</v>
      </c>
    </row>
    <row r="97" customFormat="false" ht="15" hidden="false" customHeight="false" outlineLevel="0" collapsed="false">
      <c r="A97" s="3" t="str">
        <f aca="false">'Golden Dataset'!A94</f>
        <v>R-08057</v>
      </c>
      <c r="B97" s="3" t="str">
        <f aca="false">'Golden Dataset'!I94</f>
        <v>Honest</v>
      </c>
      <c r="C97" s="3" t="n">
        <f aca="false">MIN(99,$M$5*'Golden Dataset'!E94+$M$6*'Golden Dataset'!F94+IF('Golden Dataset'!G94&lt;30,$M$7,0)+IF('Golden Dataset'!H94="No",$M$8,0))</f>
        <v>22</v>
      </c>
      <c r="D97" s="3" t="str">
        <f aca="false">IF(C97&gt;=$M$9,"Hold and review",IF(C97&gt;=$M$10,"Refund on carrier scan","Approve"))</f>
        <v>Approve</v>
      </c>
      <c r="E97" s="3" t="n">
        <f aca="false">IF(C97&gt;=$M$9,1,0)</f>
        <v>0</v>
      </c>
      <c r="F97" s="3" t="n">
        <f aca="false">IF(LEFT(B97,5)="Abuse",1,0)</f>
        <v>0</v>
      </c>
      <c r="G97" s="3" t="n">
        <f aca="false">IF(B97="Abuse: refund without return",1,0)</f>
        <v>0</v>
      </c>
      <c r="H97" s="3" t="str">
        <f aca="false">IF(E97=1,IF(F97=1,"Correct hold","False alarm"),IF(F97=1,"Missed","Correctly left alone"))</f>
        <v>Correctly left alone</v>
      </c>
    </row>
    <row r="98" customFormat="false" ht="15" hidden="false" customHeight="false" outlineLevel="0" collapsed="false">
      <c r="A98" s="3" t="str">
        <f aca="false">'Golden Dataset'!A95</f>
        <v>R-08088</v>
      </c>
      <c r="B98" s="3" t="str">
        <f aca="false">'Golden Dataset'!I95</f>
        <v>Abuse: refund without return</v>
      </c>
      <c r="C98" s="3" t="n">
        <f aca="false">MIN(99,$M$5*'Golden Dataset'!E95+$M$6*'Golden Dataset'!F95+IF('Golden Dataset'!G95&lt;30,$M$7,0)+IF('Golden Dataset'!H95="No",$M$8,0))</f>
        <v>64</v>
      </c>
      <c r="D98" s="3" t="str">
        <f aca="false">IF(C98&gt;=$M$9,"Hold and review",IF(C98&gt;=$M$10,"Refund on carrier scan","Approve"))</f>
        <v>Hold and review</v>
      </c>
      <c r="E98" s="3" t="n">
        <f aca="false">IF(C98&gt;=$M$9,1,0)</f>
        <v>1</v>
      </c>
      <c r="F98" s="3" t="n">
        <f aca="false">IF(LEFT(B98,5)="Abuse",1,0)</f>
        <v>1</v>
      </c>
      <c r="G98" s="3" t="n">
        <f aca="false">IF(B98="Abuse: refund without return",1,0)</f>
        <v>1</v>
      </c>
      <c r="H98" s="3" t="str">
        <f aca="false">IF(E98=1,IF(F98=1,"Correct hold","False alarm"),IF(F98=1,"Missed","Correctly left alone"))</f>
        <v>Correct hold</v>
      </c>
    </row>
    <row r="99" customFormat="false" ht="15" hidden="false" customHeight="false" outlineLevel="0" collapsed="false">
      <c r="A99" s="3" t="str">
        <f aca="false">'Golden Dataset'!A96</f>
        <v>R-08040</v>
      </c>
      <c r="B99" s="3" t="str">
        <f aca="false">'Golden Dataset'!I96</f>
        <v>Honest</v>
      </c>
      <c r="C99" s="3" t="n">
        <f aca="false">MIN(99,$M$5*'Golden Dataset'!E96+$M$6*'Golden Dataset'!F96+IF('Golden Dataset'!G96&lt;30,$M$7,0)+IF('Golden Dataset'!H96="No",$M$8,0))</f>
        <v>0</v>
      </c>
      <c r="D99" s="3" t="str">
        <f aca="false">IF(C99&gt;=$M$9,"Hold and review",IF(C99&gt;=$M$10,"Refund on carrier scan","Approve"))</f>
        <v>Approve</v>
      </c>
      <c r="E99" s="3" t="n">
        <f aca="false">IF(C99&gt;=$M$9,1,0)</f>
        <v>0</v>
      </c>
      <c r="F99" s="3" t="n">
        <f aca="false">IF(LEFT(B99,5)="Abuse",1,0)</f>
        <v>0</v>
      </c>
      <c r="G99" s="3" t="n">
        <f aca="false">IF(B99="Abuse: refund without return",1,0)</f>
        <v>0</v>
      </c>
      <c r="H99" s="3" t="str">
        <f aca="false">IF(E99=1,IF(F99=1,"Correct hold","False alarm"),IF(F99=1,"Missed","Correctly left alone"))</f>
        <v>Correctly left alone</v>
      </c>
    </row>
    <row r="100" customFormat="false" ht="15" hidden="false" customHeight="false" outlineLevel="0" collapsed="false">
      <c r="A100" s="3" t="str">
        <f aca="false">'Golden Dataset'!A97</f>
        <v>R-08159</v>
      </c>
      <c r="B100" s="3" t="str">
        <f aca="false">'Golden Dataset'!I97</f>
        <v>Honest</v>
      </c>
      <c r="C100" s="3" t="n">
        <f aca="false">MIN(99,$M$5*'Golden Dataset'!E97+$M$6*'Golden Dataset'!F97+IF('Golden Dataset'!G97&lt;30,$M$7,0)+IF('Golden Dataset'!H97="No",$M$8,0))</f>
        <v>0</v>
      </c>
      <c r="D100" s="3" t="str">
        <f aca="false">IF(C100&gt;=$M$9,"Hold and review",IF(C100&gt;=$M$10,"Refund on carrier scan","Approve"))</f>
        <v>Approve</v>
      </c>
      <c r="E100" s="3" t="n">
        <f aca="false">IF(C100&gt;=$M$9,1,0)</f>
        <v>0</v>
      </c>
      <c r="F100" s="3" t="n">
        <f aca="false">IF(LEFT(B100,5)="Abuse",1,0)</f>
        <v>0</v>
      </c>
      <c r="G100" s="3" t="n">
        <f aca="false">IF(B100="Abuse: refund without return",1,0)</f>
        <v>0</v>
      </c>
      <c r="H100" s="3" t="str">
        <f aca="false">IF(E100=1,IF(F100=1,"Correct hold","False alarm"),IF(F100=1,"Missed","Correctly left alone"))</f>
        <v>Correctly left alone</v>
      </c>
    </row>
    <row r="101" customFormat="false" ht="15" hidden="false" customHeight="false" outlineLevel="0" collapsed="false">
      <c r="A101" s="3" t="str">
        <f aca="false">'Golden Dataset'!A98</f>
        <v>R-08094</v>
      </c>
      <c r="B101" s="3" t="str">
        <f aca="false">'Golden Dataset'!I98</f>
        <v>Abuse: wear and return</v>
      </c>
      <c r="C101" s="3" t="n">
        <f aca="false">MIN(99,$M$5*'Golden Dataset'!E98+$M$6*'Golden Dataset'!F98+IF('Golden Dataset'!G98&lt;30,$M$7,0)+IF('Golden Dataset'!H98="No",$M$8,0))</f>
        <v>0</v>
      </c>
      <c r="D101" s="3" t="str">
        <f aca="false">IF(C101&gt;=$M$9,"Hold and review",IF(C101&gt;=$M$10,"Refund on carrier scan","Approve"))</f>
        <v>Approve</v>
      </c>
      <c r="E101" s="3" t="n">
        <f aca="false">IF(C101&gt;=$M$9,1,0)</f>
        <v>0</v>
      </c>
      <c r="F101" s="3" t="n">
        <f aca="false">IF(LEFT(B101,5)="Abuse",1,0)</f>
        <v>1</v>
      </c>
      <c r="G101" s="3" t="n">
        <f aca="false">IF(B101="Abuse: refund without return",1,0)</f>
        <v>0</v>
      </c>
      <c r="H101" s="3" t="str">
        <f aca="false">IF(E101=1,IF(F101=1,"Correct hold","False alarm"),IF(F101=1,"Missed","Correctly left alone"))</f>
        <v>Missed</v>
      </c>
    </row>
    <row r="102" customFormat="false" ht="15" hidden="false" customHeight="false" outlineLevel="0" collapsed="false">
      <c r="A102" s="3" t="str">
        <f aca="false">'Golden Dataset'!A99</f>
        <v>R-08033</v>
      </c>
      <c r="B102" s="3" t="str">
        <f aca="false">'Golden Dataset'!I99</f>
        <v>Honest</v>
      </c>
      <c r="C102" s="3" t="n">
        <f aca="false">MIN(99,$M$5*'Golden Dataset'!E99+$M$6*'Golden Dataset'!F99+IF('Golden Dataset'!G99&lt;30,$M$7,0)+IF('Golden Dataset'!H99="No",$M$8,0))</f>
        <v>22</v>
      </c>
      <c r="D102" s="3" t="str">
        <f aca="false">IF(C102&gt;=$M$9,"Hold and review",IF(C102&gt;=$M$10,"Refund on carrier scan","Approve"))</f>
        <v>Approve</v>
      </c>
      <c r="E102" s="3" t="n">
        <f aca="false">IF(C102&gt;=$M$9,1,0)</f>
        <v>0</v>
      </c>
      <c r="F102" s="3" t="n">
        <f aca="false">IF(LEFT(B102,5)="Abuse",1,0)</f>
        <v>0</v>
      </c>
      <c r="G102" s="3" t="n">
        <f aca="false">IF(B102="Abuse: refund without return",1,0)</f>
        <v>0</v>
      </c>
      <c r="H102" s="3" t="str">
        <f aca="false">IF(E102=1,IF(F102=1,"Correct hold","False alarm"),IF(F102=1,"Missed","Correctly left alone"))</f>
        <v>Correctly left alone</v>
      </c>
    </row>
    <row r="103" customFormat="false" ht="15" hidden="false" customHeight="false" outlineLevel="0" collapsed="false">
      <c r="A103" s="3" t="str">
        <f aca="false">'Golden Dataset'!A100</f>
        <v>R-08142</v>
      </c>
      <c r="B103" s="3" t="str">
        <f aca="false">'Golden Dataset'!I100</f>
        <v>Abuse: wear and return</v>
      </c>
      <c r="C103" s="3" t="n">
        <f aca="false">MIN(99,$M$5*'Golden Dataset'!E100+$M$6*'Golden Dataset'!F100+IF('Golden Dataset'!G100&lt;30,$M$7,0)+IF('Golden Dataset'!H100="No",$M$8,0))</f>
        <v>0</v>
      </c>
      <c r="D103" s="3" t="str">
        <f aca="false">IF(C103&gt;=$M$9,"Hold and review",IF(C103&gt;=$M$10,"Refund on carrier scan","Approve"))</f>
        <v>Approve</v>
      </c>
      <c r="E103" s="3" t="n">
        <f aca="false">IF(C103&gt;=$M$9,1,0)</f>
        <v>0</v>
      </c>
      <c r="F103" s="3" t="n">
        <f aca="false">IF(LEFT(B103,5)="Abuse",1,0)</f>
        <v>1</v>
      </c>
      <c r="G103" s="3" t="n">
        <f aca="false">IF(B103="Abuse: refund without return",1,0)</f>
        <v>0</v>
      </c>
      <c r="H103" s="3" t="str">
        <f aca="false">IF(E103=1,IF(F103=1,"Correct hold","False alarm"),IF(F103=1,"Missed","Correctly left alone"))</f>
        <v>Missed</v>
      </c>
    </row>
    <row r="104" customFormat="false" ht="15" hidden="false" customHeight="false" outlineLevel="0" collapsed="false">
      <c r="A104" s="3" t="str">
        <f aca="false">'Golden Dataset'!A101</f>
        <v>R-08022</v>
      </c>
      <c r="B104" s="3" t="str">
        <f aca="false">'Golden Dataset'!I101</f>
        <v>Abuse: reseller ring</v>
      </c>
      <c r="C104" s="3" t="n">
        <f aca="false">MIN(99,$M$5*'Golden Dataset'!E101+$M$6*'Golden Dataset'!F101+IF('Golden Dataset'!G101&lt;30,$M$7,0)+IF('Golden Dataset'!H101="No",$M$8,0))</f>
        <v>62</v>
      </c>
      <c r="D104" s="3" t="str">
        <f aca="false">IF(C104&gt;=$M$9,"Hold and review",IF(C104&gt;=$M$10,"Refund on carrier scan","Approve"))</f>
        <v>Hold and review</v>
      </c>
      <c r="E104" s="3" t="n">
        <f aca="false">IF(C104&gt;=$M$9,1,0)</f>
        <v>1</v>
      </c>
      <c r="F104" s="3" t="n">
        <f aca="false">IF(LEFT(B104,5)="Abuse",1,0)</f>
        <v>1</v>
      </c>
      <c r="G104" s="3" t="n">
        <f aca="false">IF(B104="Abuse: refund without return",1,0)</f>
        <v>0</v>
      </c>
      <c r="H104" s="3" t="str">
        <f aca="false">IF(E104=1,IF(F104=1,"Correct hold","False alarm"),IF(F104=1,"Missed","Correctly left alone"))</f>
        <v>Correct hold</v>
      </c>
    </row>
    <row r="105" customFormat="false" ht="15" hidden="false" customHeight="false" outlineLevel="0" collapsed="false">
      <c r="A105" s="3" t="str">
        <f aca="false">'Golden Dataset'!A102</f>
        <v>R-08055</v>
      </c>
      <c r="B105" s="3" t="str">
        <f aca="false">'Golden Dataset'!I102</f>
        <v>Honest: carrier lost parcel</v>
      </c>
      <c r="C105" s="3" t="n">
        <f aca="false">MIN(99,$M$5*'Golden Dataset'!E102+$M$6*'Golden Dataset'!F102+IF('Golden Dataset'!G102&lt;30,$M$7,0)+IF('Golden Dataset'!H102="No",$M$8,0))</f>
        <v>8</v>
      </c>
      <c r="D105" s="3" t="str">
        <f aca="false">IF(C105&gt;=$M$9,"Hold and review",IF(C105&gt;=$M$10,"Refund on carrier scan","Approve"))</f>
        <v>Approve</v>
      </c>
      <c r="E105" s="3" t="n">
        <f aca="false">IF(C105&gt;=$M$9,1,0)</f>
        <v>0</v>
      </c>
      <c r="F105" s="3" t="n">
        <f aca="false">IF(LEFT(B105,5)="Abuse",1,0)</f>
        <v>0</v>
      </c>
      <c r="G105" s="3" t="n">
        <f aca="false">IF(B105="Abuse: refund without return",1,0)</f>
        <v>0</v>
      </c>
      <c r="H105" s="3" t="str">
        <f aca="false">IF(E105=1,IF(F105=1,"Correct hold","False alarm"),IF(F105=1,"Missed","Correctly left alone"))</f>
        <v>Correctly left alone</v>
      </c>
    </row>
    <row r="106" customFormat="false" ht="15" hidden="false" customHeight="false" outlineLevel="0" collapsed="false">
      <c r="A106" s="3" t="str">
        <f aca="false">'Golden Dataset'!A103</f>
        <v>R-08041</v>
      </c>
      <c r="B106" s="3" t="str">
        <f aca="false">'Golden Dataset'!I103</f>
        <v>Honest</v>
      </c>
      <c r="C106" s="3" t="n">
        <f aca="false">MIN(99,$M$5*'Golden Dataset'!E103+$M$6*'Golden Dataset'!F103+IF('Golden Dataset'!G103&lt;30,$M$7,0)+IF('Golden Dataset'!H103="No",$M$8,0))</f>
        <v>0</v>
      </c>
      <c r="D106" s="3" t="str">
        <f aca="false">IF(C106&gt;=$M$9,"Hold and review",IF(C106&gt;=$M$10,"Refund on carrier scan","Approve"))</f>
        <v>Approve</v>
      </c>
      <c r="E106" s="3" t="n">
        <f aca="false">IF(C106&gt;=$M$9,1,0)</f>
        <v>0</v>
      </c>
      <c r="F106" s="3" t="n">
        <f aca="false">IF(LEFT(B106,5)="Abuse",1,0)</f>
        <v>0</v>
      </c>
      <c r="G106" s="3" t="n">
        <f aca="false">IF(B106="Abuse: refund without return",1,0)</f>
        <v>0</v>
      </c>
      <c r="H106" s="3" t="str">
        <f aca="false">IF(E106=1,IF(F106=1,"Correct hold","False alarm"),IF(F106=1,"Missed","Correctly left alone"))</f>
        <v>Correctly left alone</v>
      </c>
    </row>
    <row r="107" customFormat="false" ht="15" hidden="false" customHeight="false" outlineLevel="0" collapsed="false">
      <c r="A107" s="3" t="str">
        <f aca="false">'Golden Dataset'!A104</f>
        <v>R-08011</v>
      </c>
      <c r="B107" s="3" t="str">
        <f aca="false">'Golden Dataset'!I104</f>
        <v>Abuse: reseller ring</v>
      </c>
      <c r="C107" s="3" t="n">
        <f aca="false">MIN(99,$M$5*'Golden Dataset'!E104+$M$6*'Golden Dataset'!F104+IF('Golden Dataset'!G104&lt;30,$M$7,0)+IF('Golden Dataset'!H104="No",$M$8,0))</f>
        <v>99</v>
      </c>
      <c r="D107" s="3" t="str">
        <f aca="false">IF(C107&gt;=$M$9,"Hold and review",IF(C107&gt;=$M$10,"Refund on carrier scan","Approve"))</f>
        <v>Hold and review</v>
      </c>
      <c r="E107" s="3" t="n">
        <f aca="false">IF(C107&gt;=$M$9,1,0)</f>
        <v>1</v>
      </c>
      <c r="F107" s="3" t="n">
        <f aca="false">IF(LEFT(B107,5)="Abuse",1,0)</f>
        <v>1</v>
      </c>
      <c r="G107" s="3" t="n">
        <f aca="false">IF(B107="Abuse: refund without return",1,0)</f>
        <v>0</v>
      </c>
      <c r="H107" s="3" t="str">
        <f aca="false">IF(E107=1,IF(F107=1,"Correct hold","False alarm"),IF(F107=1,"Missed","Correctly left alone"))</f>
        <v>Correct hold</v>
      </c>
    </row>
    <row r="108" customFormat="false" ht="15" hidden="false" customHeight="false" outlineLevel="0" collapsed="false">
      <c r="A108" s="3" t="str">
        <f aca="false">'Golden Dataset'!A105</f>
        <v>R-08096</v>
      </c>
      <c r="B108" s="3" t="str">
        <f aca="false">'Golden Dataset'!I105</f>
        <v>Abuse: repeated damage claims</v>
      </c>
      <c r="C108" s="3" t="n">
        <f aca="false">MIN(99,$M$5*'Golden Dataset'!E105+$M$6*'Golden Dataset'!F105+IF('Golden Dataset'!G105&lt;30,$M$7,0)+IF('Golden Dataset'!H105="No",$M$8,0))</f>
        <v>30</v>
      </c>
      <c r="D108" s="3" t="str">
        <f aca="false">IF(C108&gt;=$M$9,"Hold and review",IF(C108&gt;=$M$10,"Refund on carrier scan","Approve"))</f>
        <v>Refund on carrier scan</v>
      </c>
      <c r="E108" s="3" t="n">
        <f aca="false">IF(C108&gt;=$M$9,1,0)</f>
        <v>0</v>
      </c>
      <c r="F108" s="3" t="n">
        <f aca="false">IF(LEFT(B108,5)="Abuse",1,0)</f>
        <v>1</v>
      </c>
      <c r="G108" s="3" t="n">
        <f aca="false">IF(B108="Abuse: refund without return",1,0)</f>
        <v>0</v>
      </c>
      <c r="H108" s="3" t="str">
        <f aca="false">IF(E108=1,IF(F108=1,"Correct hold","False alarm"),IF(F108=1,"Missed","Correctly left alone"))</f>
        <v>Missed</v>
      </c>
    </row>
    <row r="109" customFormat="false" ht="15" hidden="false" customHeight="false" outlineLevel="0" collapsed="false">
      <c r="A109" s="3" t="str">
        <f aca="false">'Golden Dataset'!A106</f>
        <v>R-08170</v>
      </c>
      <c r="B109" s="3" t="str">
        <f aca="false">'Golden Dataset'!I106</f>
        <v>Abuse: reseller ring</v>
      </c>
      <c r="C109" s="3" t="n">
        <f aca="false">MIN(99,$M$5*'Golden Dataset'!E106+$M$6*'Golden Dataset'!F106+IF('Golden Dataset'!G106&lt;30,$M$7,0)+IF('Golden Dataset'!H106="No",$M$8,0))</f>
        <v>62</v>
      </c>
      <c r="D109" s="3" t="str">
        <f aca="false">IF(C109&gt;=$M$9,"Hold and review",IF(C109&gt;=$M$10,"Refund on carrier scan","Approve"))</f>
        <v>Hold and review</v>
      </c>
      <c r="E109" s="3" t="n">
        <f aca="false">IF(C109&gt;=$M$9,1,0)</f>
        <v>1</v>
      </c>
      <c r="F109" s="3" t="n">
        <f aca="false">IF(LEFT(B109,5)="Abuse",1,0)</f>
        <v>1</v>
      </c>
      <c r="G109" s="3" t="n">
        <f aca="false">IF(B109="Abuse: refund without return",1,0)</f>
        <v>0</v>
      </c>
      <c r="H109" s="3" t="str">
        <f aca="false">IF(E109=1,IF(F109=1,"Correct hold","False alarm"),IF(F109=1,"Missed","Correctly left alone"))</f>
        <v>Correct hold</v>
      </c>
    </row>
    <row r="110" customFormat="false" ht="15" hidden="false" customHeight="false" outlineLevel="0" collapsed="false">
      <c r="A110" s="3" t="str">
        <f aca="false">'Golden Dataset'!A107</f>
        <v>R-08132</v>
      </c>
      <c r="B110" s="3" t="str">
        <f aca="false">'Golden Dataset'!I107</f>
        <v>Honest</v>
      </c>
      <c r="C110" s="3" t="n">
        <f aca="false">MIN(99,$M$5*'Golden Dataset'!E107+$M$6*'Golden Dataset'!F107+IF('Golden Dataset'!G107&lt;30,$M$7,0)+IF('Golden Dataset'!H107="No",$M$8,0))</f>
        <v>0</v>
      </c>
      <c r="D110" s="3" t="str">
        <f aca="false">IF(C110&gt;=$M$9,"Hold and review",IF(C110&gt;=$M$10,"Refund on carrier scan","Approve"))</f>
        <v>Approve</v>
      </c>
      <c r="E110" s="3" t="n">
        <f aca="false">IF(C110&gt;=$M$9,1,0)</f>
        <v>0</v>
      </c>
      <c r="F110" s="3" t="n">
        <f aca="false">IF(LEFT(B110,5)="Abuse",1,0)</f>
        <v>0</v>
      </c>
      <c r="G110" s="3" t="n">
        <f aca="false">IF(B110="Abuse: refund without return",1,0)</f>
        <v>0</v>
      </c>
      <c r="H110" s="3" t="str">
        <f aca="false">IF(E110=1,IF(F110=1,"Correct hold","False alarm"),IF(F110=1,"Missed","Correctly left alone"))</f>
        <v>Correctly left alone</v>
      </c>
    </row>
    <row r="111" customFormat="false" ht="15" hidden="false" customHeight="false" outlineLevel="0" collapsed="false">
      <c r="A111" s="3" t="str">
        <f aca="false">'Golden Dataset'!A108</f>
        <v>R-08007</v>
      </c>
      <c r="B111" s="3" t="str">
        <f aca="false">'Golden Dataset'!I108</f>
        <v>Abuse: refund without return</v>
      </c>
      <c r="C111" s="3" t="n">
        <f aca="false">MIN(99,$M$5*'Golden Dataset'!E108+$M$6*'Golden Dataset'!F108+IF('Golden Dataset'!G108&lt;30,$M$7,0)+IF('Golden Dataset'!H108="No",$M$8,0))</f>
        <v>52</v>
      </c>
      <c r="D111" s="3" t="str">
        <f aca="false">IF(C111&gt;=$M$9,"Hold and review",IF(C111&gt;=$M$10,"Refund on carrier scan","Approve"))</f>
        <v>Refund on carrier scan</v>
      </c>
      <c r="E111" s="3" t="n">
        <f aca="false">IF(C111&gt;=$M$9,1,0)</f>
        <v>0</v>
      </c>
      <c r="F111" s="3" t="n">
        <f aca="false">IF(LEFT(B111,5)="Abuse",1,0)</f>
        <v>1</v>
      </c>
      <c r="G111" s="3" t="n">
        <f aca="false">IF(B111="Abuse: refund without return",1,0)</f>
        <v>1</v>
      </c>
      <c r="H111" s="3" t="str">
        <f aca="false">IF(E111=1,IF(F111=1,"Correct hold","False alarm"),IF(F111=1,"Missed","Correctly left alone"))</f>
        <v>Missed</v>
      </c>
    </row>
    <row r="112" customFormat="false" ht="15" hidden="false" customHeight="false" outlineLevel="0" collapsed="false">
      <c r="A112" s="3" t="str">
        <f aca="false">'Golden Dataset'!A109</f>
        <v>R-08000</v>
      </c>
      <c r="B112" s="3" t="str">
        <f aca="false">'Golden Dataset'!I109</f>
        <v>Honest</v>
      </c>
      <c r="C112" s="3" t="n">
        <f aca="false">MIN(99,$M$5*'Golden Dataset'!E109+$M$6*'Golden Dataset'!F109+IF('Golden Dataset'!G109&lt;30,$M$7,0)+IF('Golden Dataset'!H109="No",$M$8,0))</f>
        <v>0</v>
      </c>
      <c r="D112" s="3" t="str">
        <f aca="false">IF(C112&gt;=$M$9,"Hold and review",IF(C112&gt;=$M$10,"Refund on carrier scan","Approve"))</f>
        <v>Approve</v>
      </c>
      <c r="E112" s="3" t="n">
        <f aca="false">IF(C112&gt;=$M$9,1,0)</f>
        <v>0</v>
      </c>
      <c r="F112" s="3" t="n">
        <f aca="false">IF(LEFT(B112,5)="Abuse",1,0)</f>
        <v>0</v>
      </c>
      <c r="G112" s="3" t="n">
        <f aca="false">IF(B112="Abuse: refund without return",1,0)</f>
        <v>0</v>
      </c>
      <c r="H112" s="3" t="str">
        <f aca="false">IF(E112=1,IF(F112=1,"Correct hold","False alarm"),IF(F112=1,"Missed","Correctly left alone"))</f>
        <v>Correctly left alone</v>
      </c>
    </row>
    <row r="113" customFormat="false" ht="15" hidden="false" customHeight="false" outlineLevel="0" collapsed="false">
      <c r="A113" s="3" t="str">
        <f aca="false">'Golden Dataset'!A110</f>
        <v>R-08191</v>
      </c>
      <c r="B113" s="3" t="str">
        <f aca="false">'Golden Dataset'!I110</f>
        <v>Abuse: wear and return</v>
      </c>
      <c r="C113" s="3" t="n">
        <f aca="false">MIN(99,$M$5*'Golden Dataset'!E110+$M$6*'Golden Dataset'!F110+IF('Golden Dataset'!G110&lt;30,$M$7,0)+IF('Golden Dataset'!H110="No",$M$8,0))</f>
        <v>0</v>
      </c>
      <c r="D113" s="3" t="str">
        <f aca="false">IF(C113&gt;=$M$9,"Hold and review",IF(C113&gt;=$M$10,"Refund on carrier scan","Approve"))</f>
        <v>Approve</v>
      </c>
      <c r="E113" s="3" t="n">
        <f aca="false">IF(C113&gt;=$M$9,1,0)</f>
        <v>0</v>
      </c>
      <c r="F113" s="3" t="n">
        <f aca="false">IF(LEFT(B113,5)="Abuse",1,0)</f>
        <v>1</v>
      </c>
      <c r="G113" s="3" t="n">
        <f aca="false">IF(B113="Abuse: refund without return",1,0)</f>
        <v>0</v>
      </c>
      <c r="H113" s="3" t="str">
        <f aca="false">IF(E113=1,IF(F113=1,"Correct hold","False alarm"),IF(F113=1,"Missed","Correctly left alone"))</f>
        <v>Missed</v>
      </c>
    </row>
    <row r="114" customFormat="false" ht="15" hidden="false" customHeight="false" outlineLevel="0" collapsed="false">
      <c r="A114" s="3" t="str">
        <f aca="false">'Golden Dataset'!A111</f>
        <v>R-08075</v>
      </c>
      <c r="B114" s="3" t="str">
        <f aca="false">'Golden Dataset'!I111</f>
        <v>Honest</v>
      </c>
      <c r="C114" s="3" t="n">
        <f aca="false">MIN(99,$M$5*'Golden Dataset'!E111+$M$6*'Golden Dataset'!F111+IF('Golden Dataset'!G111&lt;30,$M$7,0)+IF('Golden Dataset'!H111="No",$M$8,0))</f>
        <v>0</v>
      </c>
      <c r="D114" s="3" t="str">
        <f aca="false">IF(C114&gt;=$M$9,"Hold and review",IF(C114&gt;=$M$10,"Refund on carrier scan","Approve"))</f>
        <v>Approve</v>
      </c>
      <c r="E114" s="3" t="n">
        <f aca="false">IF(C114&gt;=$M$9,1,0)</f>
        <v>0</v>
      </c>
      <c r="F114" s="3" t="n">
        <f aca="false">IF(LEFT(B114,5)="Abuse",1,0)</f>
        <v>0</v>
      </c>
      <c r="G114" s="3" t="n">
        <f aca="false">IF(B114="Abuse: refund without return",1,0)</f>
        <v>0</v>
      </c>
      <c r="H114" s="3" t="str">
        <f aca="false">IF(E114=1,IF(F114=1,"Correct hold","False alarm"),IF(F114=1,"Missed","Correctly left alone"))</f>
        <v>Correctly left alone</v>
      </c>
    </row>
    <row r="115" customFormat="false" ht="15" hidden="false" customHeight="false" outlineLevel="0" collapsed="false">
      <c r="A115" s="3" t="str">
        <f aca="false">'Golden Dataset'!A112</f>
        <v>R-08144</v>
      </c>
      <c r="B115" s="3" t="str">
        <f aca="false">'Golden Dataset'!I112</f>
        <v>Honest</v>
      </c>
      <c r="C115" s="3" t="n">
        <f aca="false">MIN(99,$M$5*'Golden Dataset'!E112+$M$6*'Golden Dataset'!F112+IF('Golden Dataset'!G112&lt;30,$M$7,0)+IF('Golden Dataset'!H112="No",$M$8,0))</f>
        <v>12</v>
      </c>
      <c r="D115" s="3" t="str">
        <f aca="false">IF(C115&gt;=$M$9,"Hold and review",IF(C115&gt;=$M$10,"Refund on carrier scan","Approve"))</f>
        <v>Approve</v>
      </c>
      <c r="E115" s="3" t="n">
        <f aca="false">IF(C115&gt;=$M$9,1,0)</f>
        <v>0</v>
      </c>
      <c r="F115" s="3" t="n">
        <f aca="false">IF(LEFT(B115,5)="Abuse",1,0)</f>
        <v>0</v>
      </c>
      <c r="G115" s="3" t="n">
        <f aca="false">IF(B115="Abuse: refund without return",1,0)</f>
        <v>0</v>
      </c>
      <c r="H115" s="3" t="str">
        <f aca="false">IF(E115=1,IF(F115=1,"Correct hold","False alarm"),IF(F115=1,"Missed","Correctly left alone"))</f>
        <v>Correctly left alone</v>
      </c>
    </row>
    <row r="116" customFormat="false" ht="15" hidden="false" customHeight="false" outlineLevel="0" collapsed="false">
      <c r="A116" s="3" t="str">
        <f aca="false">'Golden Dataset'!A113</f>
        <v>R-08150</v>
      </c>
      <c r="B116" s="3" t="str">
        <f aca="false">'Golden Dataset'!I113</f>
        <v>Abuse: refund without return</v>
      </c>
      <c r="C116" s="3" t="n">
        <f aca="false">MIN(99,$M$5*'Golden Dataset'!E113+$M$6*'Golden Dataset'!F113+IF('Golden Dataset'!G113&lt;30,$M$7,0)+IF('Golden Dataset'!H113="No",$M$8,0))</f>
        <v>42</v>
      </c>
      <c r="D116" s="3" t="str">
        <f aca="false">IF(C116&gt;=$M$9,"Hold and review",IF(C116&gt;=$M$10,"Refund on carrier scan","Approve"))</f>
        <v>Refund on carrier scan</v>
      </c>
      <c r="E116" s="3" t="n">
        <f aca="false">IF(C116&gt;=$M$9,1,0)</f>
        <v>0</v>
      </c>
      <c r="F116" s="3" t="n">
        <f aca="false">IF(LEFT(B116,5)="Abuse",1,0)</f>
        <v>1</v>
      </c>
      <c r="G116" s="3" t="n">
        <f aca="false">IF(B116="Abuse: refund without return",1,0)</f>
        <v>1</v>
      </c>
      <c r="H116" s="3" t="str">
        <f aca="false">IF(E116=1,IF(F116=1,"Correct hold","False alarm"),IF(F116=1,"Missed","Correctly left alone"))</f>
        <v>Missed</v>
      </c>
    </row>
    <row r="117" customFormat="false" ht="15" hidden="false" customHeight="false" outlineLevel="0" collapsed="false">
      <c r="A117" s="3" t="str">
        <f aca="false">'Golden Dataset'!A114</f>
        <v>R-08133</v>
      </c>
      <c r="B117" s="3" t="str">
        <f aca="false">'Golden Dataset'!I114</f>
        <v>Abuse: wear and return</v>
      </c>
      <c r="C117" s="3" t="n">
        <f aca="false">MIN(99,$M$5*'Golden Dataset'!E114+$M$6*'Golden Dataset'!F114+IF('Golden Dataset'!G114&lt;30,$M$7,0)+IF('Golden Dataset'!H114="No",$M$8,0))</f>
        <v>0</v>
      </c>
      <c r="D117" s="3" t="str">
        <f aca="false">IF(C117&gt;=$M$9,"Hold and review",IF(C117&gt;=$M$10,"Refund on carrier scan","Approve"))</f>
        <v>Approve</v>
      </c>
      <c r="E117" s="3" t="n">
        <f aca="false">IF(C117&gt;=$M$9,1,0)</f>
        <v>0</v>
      </c>
      <c r="F117" s="3" t="n">
        <f aca="false">IF(LEFT(B117,5)="Abuse",1,0)</f>
        <v>1</v>
      </c>
      <c r="G117" s="3" t="n">
        <f aca="false">IF(B117="Abuse: refund without return",1,0)</f>
        <v>0</v>
      </c>
      <c r="H117" s="3" t="str">
        <f aca="false">IF(E117=1,IF(F117=1,"Correct hold","False alarm"),IF(F117=1,"Missed","Correctly left alone"))</f>
        <v>Missed</v>
      </c>
    </row>
    <row r="118" customFormat="false" ht="15" hidden="false" customHeight="false" outlineLevel="0" collapsed="false">
      <c r="A118" s="3" t="str">
        <f aca="false">'Golden Dataset'!A115</f>
        <v>R-08124</v>
      </c>
      <c r="B118" s="3" t="str">
        <f aca="false">'Golden Dataset'!I115</f>
        <v>Honest</v>
      </c>
      <c r="C118" s="3" t="n">
        <f aca="false">MIN(99,$M$5*'Golden Dataset'!E115+$M$6*'Golden Dataset'!F115+IF('Golden Dataset'!G115&lt;30,$M$7,0)+IF('Golden Dataset'!H115="No",$M$8,0))</f>
        <v>0</v>
      </c>
      <c r="D118" s="3" t="str">
        <f aca="false">IF(C118&gt;=$M$9,"Hold and review",IF(C118&gt;=$M$10,"Refund on carrier scan","Approve"))</f>
        <v>Approve</v>
      </c>
      <c r="E118" s="3" t="n">
        <f aca="false">IF(C118&gt;=$M$9,1,0)</f>
        <v>0</v>
      </c>
      <c r="F118" s="3" t="n">
        <f aca="false">IF(LEFT(B118,5)="Abuse",1,0)</f>
        <v>0</v>
      </c>
      <c r="G118" s="3" t="n">
        <f aca="false">IF(B118="Abuse: refund without return",1,0)</f>
        <v>0</v>
      </c>
      <c r="H118" s="3" t="str">
        <f aca="false">IF(E118=1,IF(F118=1,"Correct hold","False alarm"),IF(F118=1,"Missed","Correctly left alone"))</f>
        <v>Correctly left alone</v>
      </c>
    </row>
    <row r="119" customFormat="false" ht="15" hidden="false" customHeight="false" outlineLevel="0" collapsed="false">
      <c r="A119" s="3" t="str">
        <f aca="false">'Golden Dataset'!A116</f>
        <v>R-08070</v>
      </c>
      <c r="B119" s="3" t="str">
        <f aca="false">'Golden Dataset'!I116</f>
        <v>Honest</v>
      </c>
      <c r="C119" s="3" t="n">
        <f aca="false">MIN(99,$M$5*'Golden Dataset'!E116+$M$6*'Golden Dataset'!F116+IF('Golden Dataset'!G116&lt;30,$M$7,0)+IF('Golden Dataset'!H116="No",$M$8,0))</f>
        <v>30</v>
      </c>
      <c r="D119" s="3" t="str">
        <f aca="false">IF(C119&gt;=$M$9,"Hold and review",IF(C119&gt;=$M$10,"Refund on carrier scan","Approve"))</f>
        <v>Refund on carrier scan</v>
      </c>
      <c r="E119" s="3" t="n">
        <f aca="false">IF(C119&gt;=$M$9,1,0)</f>
        <v>0</v>
      </c>
      <c r="F119" s="3" t="n">
        <f aca="false">IF(LEFT(B119,5)="Abuse",1,0)</f>
        <v>0</v>
      </c>
      <c r="G119" s="3" t="n">
        <f aca="false">IF(B119="Abuse: refund without return",1,0)</f>
        <v>0</v>
      </c>
      <c r="H119" s="3" t="str">
        <f aca="false">IF(E119=1,IF(F119=1,"Correct hold","False alarm"),IF(F119=1,"Missed","Correctly left alone"))</f>
        <v>Correctly left alone</v>
      </c>
    </row>
    <row r="120" customFormat="false" ht="15" hidden="false" customHeight="false" outlineLevel="0" collapsed="false">
      <c r="A120" s="3" t="str">
        <f aca="false">'Golden Dataset'!A117</f>
        <v>R-08158</v>
      </c>
      <c r="B120" s="3" t="str">
        <f aca="false">'Golden Dataset'!I117</f>
        <v>Abuse: repeated damage claims</v>
      </c>
      <c r="C120" s="3" t="n">
        <f aca="false">MIN(99,$M$5*'Golden Dataset'!E117+$M$6*'Golden Dataset'!F117+IF('Golden Dataset'!G117&lt;30,$M$7,0)+IF('Golden Dataset'!H117="No",$M$8,0))</f>
        <v>8</v>
      </c>
      <c r="D120" s="3" t="str">
        <f aca="false">IF(C120&gt;=$M$9,"Hold and review",IF(C120&gt;=$M$10,"Refund on carrier scan","Approve"))</f>
        <v>Approve</v>
      </c>
      <c r="E120" s="3" t="n">
        <f aca="false">IF(C120&gt;=$M$9,1,0)</f>
        <v>0</v>
      </c>
      <c r="F120" s="3" t="n">
        <f aca="false">IF(LEFT(B120,5)="Abuse",1,0)</f>
        <v>1</v>
      </c>
      <c r="G120" s="3" t="n">
        <f aca="false">IF(B120="Abuse: refund without return",1,0)</f>
        <v>0</v>
      </c>
      <c r="H120" s="3" t="str">
        <f aca="false">IF(E120=1,IF(F120=1,"Correct hold","False alarm"),IF(F120=1,"Missed","Correctly left alone"))</f>
        <v>Missed</v>
      </c>
    </row>
    <row r="121" customFormat="false" ht="15" hidden="false" customHeight="false" outlineLevel="0" collapsed="false">
      <c r="A121" s="3" t="str">
        <f aca="false">'Golden Dataset'!A118</f>
        <v>R-08167</v>
      </c>
      <c r="B121" s="3" t="str">
        <f aca="false">'Golden Dataset'!I118</f>
        <v>Abuse: refund without return</v>
      </c>
      <c r="C121" s="3" t="n">
        <f aca="false">MIN(99,$M$5*'Golden Dataset'!E118+$M$6*'Golden Dataset'!F118+IF('Golden Dataset'!G118&lt;30,$M$7,0)+IF('Golden Dataset'!H118="No",$M$8,0))</f>
        <v>30</v>
      </c>
      <c r="D121" s="3" t="str">
        <f aca="false">IF(C121&gt;=$M$9,"Hold and review",IF(C121&gt;=$M$10,"Refund on carrier scan","Approve"))</f>
        <v>Refund on carrier scan</v>
      </c>
      <c r="E121" s="3" t="n">
        <f aca="false">IF(C121&gt;=$M$9,1,0)</f>
        <v>0</v>
      </c>
      <c r="F121" s="3" t="n">
        <f aca="false">IF(LEFT(B121,5)="Abuse",1,0)</f>
        <v>1</v>
      </c>
      <c r="G121" s="3" t="n">
        <f aca="false">IF(B121="Abuse: refund without return",1,0)</f>
        <v>1</v>
      </c>
      <c r="H121" s="3" t="str">
        <f aca="false">IF(E121=1,IF(F121=1,"Correct hold","False alarm"),IF(F121=1,"Missed","Correctly left alone"))</f>
        <v>Missed</v>
      </c>
    </row>
    <row r="122" customFormat="false" ht="15" hidden="false" customHeight="false" outlineLevel="0" collapsed="false">
      <c r="A122" s="3" t="str">
        <f aca="false">'Golden Dataset'!A119</f>
        <v>R-08052</v>
      </c>
      <c r="B122" s="3" t="str">
        <f aca="false">'Golden Dataset'!I119</f>
        <v>Honest</v>
      </c>
      <c r="C122" s="3" t="n">
        <f aca="false">MIN(99,$M$5*'Golden Dataset'!E119+$M$6*'Golden Dataset'!F119+IF('Golden Dataset'!G119&lt;30,$M$7,0)+IF('Golden Dataset'!H119="No",$M$8,0))</f>
        <v>22</v>
      </c>
      <c r="D122" s="3" t="str">
        <f aca="false">IF(C122&gt;=$M$9,"Hold and review",IF(C122&gt;=$M$10,"Refund on carrier scan","Approve"))</f>
        <v>Approve</v>
      </c>
      <c r="E122" s="3" t="n">
        <f aca="false">IF(C122&gt;=$M$9,1,0)</f>
        <v>0</v>
      </c>
      <c r="F122" s="3" t="n">
        <f aca="false">IF(LEFT(B122,5)="Abuse",1,0)</f>
        <v>0</v>
      </c>
      <c r="G122" s="3" t="n">
        <f aca="false">IF(B122="Abuse: refund without return",1,0)</f>
        <v>0</v>
      </c>
      <c r="H122" s="3" t="str">
        <f aca="false">IF(E122=1,IF(F122=1,"Correct hold","False alarm"),IF(F122=1,"Missed","Correctly left alone"))</f>
        <v>Correctly left alone</v>
      </c>
    </row>
    <row r="123" customFormat="false" ht="15" hidden="false" customHeight="false" outlineLevel="0" collapsed="false">
      <c r="A123" s="3" t="str">
        <f aca="false">'Golden Dataset'!A120</f>
        <v>R-08116</v>
      </c>
      <c r="B123" s="3" t="str">
        <f aca="false">'Golden Dataset'!I120</f>
        <v>Honest</v>
      </c>
      <c r="C123" s="3" t="n">
        <f aca="false">MIN(99,$M$5*'Golden Dataset'!E120+$M$6*'Golden Dataset'!F120+IF('Golden Dataset'!G120&lt;30,$M$7,0)+IF('Golden Dataset'!H120="No",$M$8,0))</f>
        <v>0</v>
      </c>
      <c r="D123" s="3" t="str">
        <f aca="false">IF(C123&gt;=$M$9,"Hold and review",IF(C123&gt;=$M$10,"Refund on carrier scan","Approve"))</f>
        <v>Approve</v>
      </c>
      <c r="E123" s="3" t="n">
        <f aca="false">IF(C123&gt;=$M$9,1,0)</f>
        <v>0</v>
      </c>
      <c r="F123" s="3" t="n">
        <f aca="false">IF(LEFT(B123,5)="Abuse",1,0)</f>
        <v>0</v>
      </c>
      <c r="G123" s="3" t="n">
        <f aca="false">IF(B123="Abuse: refund without return",1,0)</f>
        <v>0</v>
      </c>
      <c r="H123" s="3" t="str">
        <f aca="false">IF(E123=1,IF(F123=1,"Correct hold","False alarm"),IF(F123=1,"Missed","Correctly left alone"))</f>
        <v>Correctly left alone</v>
      </c>
    </row>
    <row r="124" customFormat="false" ht="15" hidden="false" customHeight="false" outlineLevel="0" collapsed="false">
      <c r="A124" s="3" t="str">
        <f aca="false">'Golden Dataset'!A121</f>
        <v>R-08153</v>
      </c>
      <c r="B124" s="3" t="str">
        <f aca="false">'Golden Dataset'!I121</f>
        <v>Abuse: refund without return</v>
      </c>
      <c r="C124" s="3" t="n">
        <f aca="false">MIN(99,$M$5*'Golden Dataset'!E121+$M$6*'Golden Dataset'!F121+IF('Golden Dataset'!G121&lt;30,$M$7,0)+IF('Golden Dataset'!H121="No",$M$8,0))</f>
        <v>64</v>
      </c>
      <c r="D124" s="3" t="str">
        <f aca="false">IF(C124&gt;=$M$9,"Hold and review",IF(C124&gt;=$M$10,"Refund on carrier scan","Approve"))</f>
        <v>Hold and review</v>
      </c>
      <c r="E124" s="3" t="n">
        <f aca="false">IF(C124&gt;=$M$9,1,0)</f>
        <v>1</v>
      </c>
      <c r="F124" s="3" t="n">
        <f aca="false">IF(LEFT(B124,5)="Abuse",1,0)</f>
        <v>1</v>
      </c>
      <c r="G124" s="3" t="n">
        <f aca="false">IF(B124="Abuse: refund without return",1,0)</f>
        <v>1</v>
      </c>
      <c r="H124" s="3" t="str">
        <f aca="false">IF(E124=1,IF(F124=1,"Correct hold","False alarm"),IF(F124=1,"Missed","Correctly left alone"))</f>
        <v>Correct hold</v>
      </c>
    </row>
    <row r="125" customFormat="false" ht="15" hidden="false" customHeight="false" outlineLevel="0" collapsed="false">
      <c r="A125" s="3" t="str">
        <f aca="false">'Golden Dataset'!A122</f>
        <v>R-08021</v>
      </c>
      <c r="B125" s="3" t="str">
        <f aca="false">'Golden Dataset'!I122</f>
        <v>Honest</v>
      </c>
      <c r="C125" s="3" t="n">
        <f aca="false">MIN(99,$M$5*'Golden Dataset'!E122+$M$6*'Golden Dataset'!F122+IF('Golden Dataset'!G122&lt;30,$M$7,0)+IF('Golden Dataset'!H122="No",$M$8,0))</f>
        <v>0</v>
      </c>
      <c r="D125" s="3" t="str">
        <f aca="false">IF(C125&gt;=$M$9,"Hold and review",IF(C125&gt;=$M$10,"Refund on carrier scan","Approve"))</f>
        <v>Approve</v>
      </c>
      <c r="E125" s="3" t="n">
        <f aca="false">IF(C125&gt;=$M$9,1,0)</f>
        <v>0</v>
      </c>
      <c r="F125" s="3" t="n">
        <f aca="false">IF(LEFT(B125,5)="Abuse",1,0)</f>
        <v>0</v>
      </c>
      <c r="G125" s="3" t="n">
        <f aca="false">IF(B125="Abuse: refund without return",1,0)</f>
        <v>0</v>
      </c>
      <c r="H125" s="3" t="str">
        <f aca="false">IF(E125=1,IF(F125=1,"Correct hold","False alarm"),IF(F125=1,"Missed","Correctly left alone"))</f>
        <v>Correctly left alone</v>
      </c>
    </row>
    <row r="126" customFormat="false" ht="15" hidden="false" customHeight="false" outlineLevel="0" collapsed="false">
      <c r="A126" s="3" t="str">
        <f aca="false">'Golden Dataset'!A123</f>
        <v>R-08166</v>
      </c>
      <c r="B126" s="3" t="str">
        <f aca="false">'Golden Dataset'!I123</f>
        <v>Honest</v>
      </c>
      <c r="C126" s="3" t="n">
        <f aca="false">MIN(99,$M$5*'Golden Dataset'!E123+$M$6*'Golden Dataset'!F123+IF('Golden Dataset'!G123&lt;30,$M$7,0)+IF('Golden Dataset'!H123="No",$M$8,0))</f>
        <v>0</v>
      </c>
      <c r="D126" s="3" t="str">
        <f aca="false">IF(C126&gt;=$M$9,"Hold and review",IF(C126&gt;=$M$10,"Refund on carrier scan","Approve"))</f>
        <v>Approve</v>
      </c>
      <c r="E126" s="3" t="n">
        <f aca="false">IF(C126&gt;=$M$9,1,0)</f>
        <v>0</v>
      </c>
      <c r="F126" s="3" t="n">
        <f aca="false">IF(LEFT(B126,5)="Abuse",1,0)</f>
        <v>0</v>
      </c>
      <c r="G126" s="3" t="n">
        <f aca="false">IF(B126="Abuse: refund without return",1,0)</f>
        <v>0</v>
      </c>
      <c r="H126" s="3" t="str">
        <f aca="false">IF(E126=1,IF(F126=1,"Correct hold","False alarm"),IF(F126=1,"Missed","Correctly left alone"))</f>
        <v>Correctly left alone</v>
      </c>
    </row>
    <row r="127" customFormat="false" ht="15" hidden="false" customHeight="false" outlineLevel="0" collapsed="false">
      <c r="A127" s="3" t="str">
        <f aca="false">'Golden Dataset'!A124</f>
        <v>R-08081</v>
      </c>
      <c r="B127" s="3" t="str">
        <f aca="false">'Golden Dataset'!I124</f>
        <v>Honest</v>
      </c>
      <c r="C127" s="3" t="n">
        <f aca="false">MIN(99,$M$5*'Golden Dataset'!E124+$M$6*'Golden Dataset'!F124+IF('Golden Dataset'!G124&lt;30,$M$7,0)+IF('Golden Dataset'!H124="No",$M$8,0))</f>
        <v>22</v>
      </c>
      <c r="D127" s="3" t="str">
        <f aca="false">IF(C127&gt;=$M$9,"Hold and review",IF(C127&gt;=$M$10,"Refund on carrier scan","Approve"))</f>
        <v>Approve</v>
      </c>
      <c r="E127" s="3" t="n">
        <f aca="false">IF(C127&gt;=$M$9,1,0)</f>
        <v>0</v>
      </c>
      <c r="F127" s="3" t="n">
        <f aca="false">IF(LEFT(B127,5)="Abuse",1,0)</f>
        <v>0</v>
      </c>
      <c r="G127" s="3" t="n">
        <f aca="false">IF(B127="Abuse: refund without return",1,0)</f>
        <v>0</v>
      </c>
      <c r="H127" s="3" t="str">
        <f aca="false">IF(E127=1,IF(F127=1,"Correct hold","False alarm"),IF(F127=1,"Missed","Correctly left alone"))</f>
        <v>Correctly left alone</v>
      </c>
    </row>
    <row r="128" customFormat="false" ht="15" hidden="false" customHeight="false" outlineLevel="0" collapsed="false">
      <c r="A128" s="3" t="str">
        <f aca="false">'Golden Dataset'!A125</f>
        <v>R-08137</v>
      </c>
      <c r="B128" s="3" t="str">
        <f aca="false">'Golden Dataset'!I125</f>
        <v>Honest</v>
      </c>
      <c r="C128" s="3" t="n">
        <f aca="false">MIN(99,$M$5*'Golden Dataset'!E125+$M$6*'Golden Dataset'!F125+IF('Golden Dataset'!G125&lt;30,$M$7,0)+IF('Golden Dataset'!H125="No",$M$8,0))</f>
        <v>0</v>
      </c>
      <c r="D128" s="3" t="str">
        <f aca="false">IF(C128&gt;=$M$9,"Hold and review",IF(C128&gt;=$M$10,"Refund on carrier scan","Approve"))</f>
        <v>Approve</v>
      </c>
      <c r="E128" s="3" t="n">
        <f aca="false">IF(C128&gt;=$M$9,1,0)</f>
        <v>0</v>
      </c>
      <c r="F128" s="3" t="n">
        <f aca="false">IF(LEFT(B128,5)="Abuse",1,0)</f>
        <v>0</v>
      </c>
      <c r="G128" s="3" t="n">
        <f aca="false">IF(B128="Abuse: refund without return",1,0)</f>
        <v>0</v>
      </c>
      <c r="H128" s="3" t="str">
        <f aca="false">IF(E128=1,IF(F128=1,"Correct hold","False alarm"),IF(F128=1,"Missed","Correctly left alone"))</f>
        <v>Correctly left alone</v>
      </c>
    </row>
    <row r="129" customFormat="false" ht="15" hidden="false" customHeight="false" outlineLevel="0" collapsed="false">
      <c r="A129" s="3" t="str">
        <f aca="false">'Golden Dataset'!A126</f>
        <v>R-08141</v>
      </c>
      <c r="B129" s="3" t="str">
        <f aca="false">'Golden Dataset'!I126</f>
        <v>Abuse: repeated damage claims</v>
      </c>
      <c r="C129" s="3" t="n">
        <f aca="false">MIN(99,$M$5*'Golden Dataset'!E126+$M$6*'Golden Dataset'!F126+IF('Golden Dataset'!G126&lt;30,$M$7,0)+IF('Golden Dataset'!H126="No",$M$8,0))</f>
        <v>8</v>
      </c>
      <c r="D129" s="3" t="str">
        <f aca="false">IF(C129&gt;=$M$9,"Hold and review",IF(C129&gt;=$M$10,"Refund on carrier scan","Approve"))</f>
        <v>Approve</v>
      </c>
      <c r="E129" s="3" t="n">
        <f aca="false">IF(C129&gt;=$M$9,1,0)</f>
        <v>0</v>
      </c>
      <c r="F129" s="3" t="n">
        <f aca="false">IF(LEFT(B129,5)="Abuse",1,0)</f>
        <v>1</v>
      </c>
      <c r="G129" s="3" t="n">
        <f aca="false">IF(B129="Abuse: refund without return",1,0)</f>
        <v>0</v>
      </c>
      <c r="H129" s="3" t="str">
        <f aca="false">IF(E129=1,IF(F129=1,"Correct hold","False alarm"),IF(F129=1,"Missed","Correctly left alone"))</f>
        <v>Missed</v>
      </c>
    </row>
    <row r="130" customFormat="false" ht="15" hidden="false" customHeight="false" outlineLevel="0" collapsed="false">
      <c r="A130" s="3" t="str">
        <f aca="false">'Golden Dataset'!A127</f>
        <v>R-08080</v>
      </c>
      <c r="B130" s="3" t="str">
        <f aca="false">'Golden Dataset'!I127</f>
        <v>Honest: carrier lost parcel</v>
      </c>
      <c r="C130" s="3" t="n">
        <f aca="false">MIN(99,$M$5*'Golden Dataset'!E127+$M$6*'Golden Dataset'!F127+IF('Golden Dataset'!G127&lt;30,$M$7,0)+IF('Golden Dataset'!H127="No",$M$8,0))</f>
        <v>8</v>
      </c>
      <c r="D130" s="3" t="str">
        <f aca="false">IF(C130&gt;=$M$9,"Hold and review",IF(C130&gt;=$M$10,"Refund on carrier scan","Approve"))</f>
        <v>Approve</v>
      </c>
      <c r="E130" s="3" t="n">
        <f aca="false">IF(C130&gt;=$M$9,1,0)</f>
        <v>0</v>
      </c>
      <c r="F130" s="3" t="n">
        <f aca="false">IF(LEFT(B130,5)="Abuse",1,0)</f>
        <v>0</v>
      </c>
      <c r="G130" s="3" t="n">
        <f aca="false">IF(B130="Abuse: refund without return",1,0)</f>
        <v>0</v>
      </c>
      <c r="H130" s="3" t="str">
        <f aca="false">IF(E130=1,IF(F130=1,"Correct hold","False alarm"),IF(F130=1,"Missed","Correctly left alone"))</f>
        <v>Correctly left alone</v>
      </c>
    </row>
    <row r="131" customFormat="false" ht="15" hidden="false" customHeight="false" outlineLevel="0" collapsed="false">
      <c r="A131" s="3" t="str">
        <f aca="false">'Golden Dataset'!A128</f>
        <v>R-08013</v>
      </c>
      <c r="B131" s="3" t="str">
        <f aca="false">'Golden Dataset'!I128</f>
        <v>Honest</v>
      </c>
      <c r="C131" s="3" t="n">
        <f aca="false">MIN(99,$M$5*'Golden Dataset'!E128+$M$6*'Golden Dataset'!F128+IF('Golden Dataset'!G128&lt;30,$M$7,0)+IF('Golden Dataset'!H128="No",$M$8,0))</f>
        <v>0</v>
      </c>
      <c r="D131" s="3" t="str">
        <f aca="false">IF(C131&gt;=$M$9,"Hold and review",IF(C131&gt;=$M$10,"Refund on carrier scan","Approve"))</f>
        <v>Approve</v>
      </c>
      <c r="E131" s="3" t="n">
        <f aca="false">IF(C131&gt;=$M$9,1,0)</f>
        <v>0</v>
      </c>
      <c r="F131" s="3" t="n">
        <f aca="false">IF(LEFT(B131,5)="Abuse",1,0)</f>
        <v>0</v>
      </c>
      <c r="G131" s="3" t="n">
        <f aca="false">IF(B131="Abuse: refund without return",1,0)</f>
        <v>0</v>
      </c>
      <c r="H131" s="3" t="str">
        <f aca="false">IF(E131=1,IF(F131=1,"Correct hold","False alarm"),IF(F131=1,"Missed","Correctly left alone"))</f>
        <v>Correctly left alone</v>
      </c>
    </row>
    <row r="132" customFormat="false" ht="15" hidden="false" customHeight="false" outlineLevel="0" collapsed="false">
      <c r="A132" s="3" t="str">
        <f aca="false">'Golden Dataset'!A129</f>
        <v>R-08051</v>
      </c>
      <c r="B132" s="3" t="str">
        <f aca="false">'Golden Dataset'!I129</f>
        <v>Honest</v>
      </c>
      <c r="C132" s="3" t="n">
        <f aca="false">MIN(99,$M$5*'Golden Dataset'!E129+$M$6*'Golden Dataset'!F129+IF('Golden Dataset'!G129&lt;30,$M$7,0)+IF('Golden Dataset'!H129="No",$M$8,0))</f>
        <v>0</v>
      </c>
      <c r="D132" s="3" t="str">
        <f aca="false">IF(C132&gt;=$M$9,"Hold and review",IF(C132&gt;=$M$10,"Refund on carrier scan","Approve"))</f>
        <v>Approve</v>
      </c>
      <c r="E132" s="3" t="n">
        <f aca="false">IF(C132&gt;=$M$9,1,0)</f>
        <v>0</v>
      </c>
      <c r="F132" s="3" t="n">
        <f aca="false">IF(LEFT(B132,5)="Abuse",1,0)</f>
        <v>0</v>
      </c>
      <c r="G132" s="3" t="n">
        <f aca="false">IF(B132="Abuse: refund without return",1,0)</f>
        <v>0</v>
      </c>
      <c r="H132" s="3" t="str">
        <f aca="false">IF(E132=1,IF(F132=1,"Correct hold","False alarm"),IF(F132=1,"Missed","Correctly left alone"))</f>
        <v>Correctly left alone</v>
      </c>
    </row>
    <row r="133" customFormat="false" ht="15" hidden="false" customHeight="false" outlineLevel="0" collapsed="false">
      <c r="A133" s="3" t="str">
        <f aca="false">'Golden Dataset'!A130</f>
        <v>R-08172</v>
      </c>
      <c r="B133" s="3" t="str">
        <f aca="false">'Golden Dataset'!I130</f>
        <v>Abuse: refund without return</v>
      </c>
      <c r="C133" s="3" t="n">
        <f aca="false">MIN(99,$M$5*'Golden Dataset'!E130+$M$6*'Golden Dataset'!F130+IF('Golden Dataset'!G130&lt;30,$M$7,0)+IF('Golden Dataset'!H130="No",$M$8,0))</f>
        <v>74</v>
      </c>
      <c r="D133" s="3" t="str">
        <f aca="false">IF(C133&gt;=$M$9,"Hold and review",IF(C133&gt;=$M$10,"Refund on carrier scan","Approve"))</f>
        <v>Hold and review</v>
      </c>
      <c r="E133" s="3" t="n">
        <f aca="false">IF(C133&gt;=$M$9,1,0)</f>
        <v>1</v>
      </c>
      <c r="F133" s="3" t="n">
        <f aca="false">IF(LEFT(B133,5)="Abuse",1,0)</f>
        <v>1</v>
      </c>
      <c r="G133" s="3" t="n">
        <f aca="false">IF(B133="Abuse: refund without return",1,0)</f>
        <v>1</v>
      </c>
      <c r="H133" s="3" t="str">
        <f aca="false">IF(E133=1,IF(F133=1,"Correct hold","False alarm"),IF(F133=1,"Missed","Correctly left alone"))</f>
        <v>Correct hold</v>
      </c>
    </row>
    <row r="134" customFormat="false" ht="15" hidden="false" customHeight="false" outlineLevel="0" collapsed="false">
      <c r="A134" s="3" t="str">
        <f aca="false">'Golden Dataset'!A131</f>
        <v>R-08048</v>
      </c>
      <c r="B134" s="3" t="str">
        <f aca="false">'Golden Dataset'!I131</f>
        <v>Abuse: wear and return</v>
      </c>
      <c r="C134" s="3" t="n">
        <f aca="false">MIN(99,$M$5*'Golden Dataset'!E131+$M$6*'Golden Dataset'!F131+IF('Golden Dataset'!G131&lt;30,$M$7,0)+IF('Golden Dataset'!H131="No",$M$8,0))</f>
        <v>0</v>
      </c>
      <c r="D134" s="3" t="str">
        <f aca="false">IF(C134&gt;=$M$9,"Hold and review",IF(C134&gt;=$M$10,"Refund on carrier scan","Approve"))</f>
        <v>Approve</v>
      </c>
      <c r="E134" s="3" t="n">
        <f aca="false">IF(C134&gt;=$M$9,1,0)</f>
        <v>0</v>
      </c>
      <c r="F134" s="3" t="n">
        <f aca="false">IF(LEFT(B134,5)="Abuse",1,0)</f>
        <v>1</v>
      </c>
      <c r="G134" s="3" t="n">
        <f aca="false">IF(B134="Abuse: refund without return",1,0)</f>
        <v>0</v>
      </c>
      <c r="H134" s="3" t="str">
        <f aca="false">IF(E134=1,IF(F134=1,"Correct hold","False alarm"),IF(F134=1,"Missed","Correctly left alone"))</f>
        <v>Missed</v>
      </c>
    </row>
    <row r="135" customFormat="false" ht="15" hidden="false" customHeight="false" outlineLevel="0" collapsed="false">
      <c r="A135" s="3" t="str">
        <f aca="false">'Golden Dataset'!A132</f>
        <v>R-08092</v>
      </c>
      <c r="B135" s="3" t="str">
        <f aca="false">'Golden Dataset'!I132</f>
        <v>Honest</v>
      </c>
      <c r="C135" s="3" t="n">
        <f aca="false">MIN(99,$M$5*'Golden Dataset'!E132+$M$6*'Golden Dataset'!F132+IF('Golden Dataset'!G132&lt;30,$M$7,0)+IF('Golden Dataset'!H132="No",$M$8,0))</f>
        <v>0</v>
      </c>
      <c r="D135" s="3" t="str">
        <f aca="false">IF(C135&gt;=$M$9,"Hold and review",IF(C135&gt;=$M$10,"Refund on carrier scan","Approve"))</f>
        <v>Approve</v>
      </c>
      <c r="E135" s="3" t="n">
        <f aca="false">IF(C135&gt;=$M$9,1,0)</f>
        <v>0</v>
      </c>
      <c r="F135" s="3" t="n">
        <f aca="false">IF(LEFT(B135,5)="Abuse",1,0)</f>
        <v>0</v>
      </c>
      <c r="G135" s="3" t="n">
        <f aca="false">IF(B135="Abuse: refund without return",1,0)</f>
        <v>0</v>
      </c>
      <c r="H135" s="3" t="str">
        <f aca="false">IF(E135=1,IF(F135=1,"Correct hold","False alarm"),IF(F135=1,"Missed","Correctly left alone"))</f>
        <v>Correctly left alone</v>
      </c>
    </row>
    <row r="136" customFormat="false" ht="15" hidden="false" customHeight="false" outlineLevel="0" collapsed="false">
      <c r="A136" s="3" t="str">
        <f aca="false">'Golden Dataset'!A133</f>
        <v>R-08181</v>
      </c>
      <c r="B136" s="3" t="str">
        <f aca="false">'Golden Dataset'!I133</f>
        <v>Honest</v>
      </c>
      <c r="C136" s="3" t="n">
        <f aca="false">MIN(99,$M$5*'Golden Dataset'!E133+$M$6*'Golden Dataset'!F133+IF('Golden Dataset'!G133&lt;30,$M$7,0)+IF('Golden Dataset'!H133="No",$M$8,0))</f>
        <v>0</v>
      </c>
      <c r="D136" s="3" t="str">
        <f aca="false">IF(C136&gt;=$M$9,"Hold and review",IF(C136&gt;=$M$10,"Refund on carrier scan","Approve"))</f>
        <v>Approve</v>
      </c>
      <c r="E136" s="3" t="n">
        <f aca="false">IF(C136&gt;=$M$9,1,0)</f>
        <v>0</v>
      </c>
      <c r="F136" s="3" t="n">
        <f aca="false">IF(LEFT(B136,5)="Abuse",1,0)</f>
        <v>0</v>
      </c>
      <c r="G136" s="3" t="n">
        <f aca="false">IF(B136="Abuse: refund without return",1,0)</f>
        <v>0</v>
      </c>
      <c r="H136" s="3" t="str">
        <f aca="false">IF(E136=1,IF(F136=1,"Correct hold","False alarm"),IF(F136=1,"Missed","Correctly left alone"))</f>
        <v>Correctly left alone</v>
      </c>
    </row>
    <row r="137" customFormat="false" ht="15" hidden="false" customHeight="false" outlineLevel="0" collapsed="false">
      <c r="A137" s="3" t="str">
        <f aca="false">'Golden Dataset'!A134</f>
        <v>R-08035</v>
      </c>
      <c r="B137" s="3" t="str">
        <f aca="false">'Golden Dataset'!I134</f>
        <v>Abuse: wear and return</v>
      </c>
      <c r="C137" s="3" t="n">
        <f aca="false">MIN(99,$M$5*'Golden Dataset'!E134+$M$6*'Golden Dataset'!F134+IF('Golden Dataset'!G134&lt;30,$M$7,0)+IF('Golden Dataset'!H134="No",$M$8,0))</f>
        <v>0</v>
      </c>
      <c r="D137" s="3" t="str">
        <f aca="false">IF(C137&gt;=$M$9,"Hold and review",IF(C137&gt;=$M$10,"Refund on carrier scan","Approve"))</f>
        <v>Approve</v>
      </c>
      <c r="E137" s="3" t="n">
        <f aca="false">IF(C137&gt;=$M$9,1,0)</f>
        <v>0</v>
      </c>
      <c r="F137" s="3" t="n">
        <f aca="false">IF(LEFT(B137,5)="Abuse",1,0)</f>
        <v>1</v>
      </c>
      <c r="G137" s="3" t="n">
        <f aca="false">IF(B137="Abuse: refund without return",1,0)</f>
        <v>0</v>
      </c>
      <c r="H137" s="3" t="str">
        <f aca="false">IF(E137=1,IF(F137=1,"Correct hold","False alarm"),IF(F137=1,"Missed","Correctly left alone"))</f>
        <v>Missed</v>
      </c>
    </row>
    <row r="138" customFormat="false" ht="15" hidden="false" customHeight="false" outlineLevel="0" collapsed="false">
      <c r="A138" s="3" t="str">
        <f aca="false">'Golden Dataset'!A135</f>
        <v>R-08182</v>
      </c>
      <c r="B138" s="3" t="str">
        <f aca="false">'Golden Dataset'!I135</f>
        <v>Honest</v>
      </c>
      <c r="C138" s="3" t="n">
        <f aca="false">MIN(99,$M$5*'Golden Dataset'!E135+$M$6*'Golden Dataset'!F135+IF('Golden Dataset'!G135&lt;30,$M$7,0)+IF('Golden Dataset'!H135="No",$M$8,0))</f>
        <v>0</v>
      </c>
      <c r="D138" s="3" t="str">
        <f aca="false">IF(C138&gt;=$M$9,"Hold and review",IF(C138&gt;=$M$10,"Refund on carrier scan","Approve"))</f>
        <v>Approve</v>
      </c>
      <c r="E138" s="3" t="n">
        <f aca="false">IF(C138&gt;=$M$9,1,0)</f>
        <v>0</v>
      </c>
      <c r="F138" s="3" t="n">
        <f aca="false">IF(LEFT(B138,5)="Abuse",1,0)</f>
        <v>0</v>
      </c>
      <c r="G138" s="3" t="n">
        <f aca="false">IF(B138="Abuse: refund without return",1,0)</f>
        <v>0</v>
      </c>
      <c r="H138" s="3" t="str">
        <f aca="false">IF(E138=1,IF(F138=1,"Correct hold","False alarm"),IF(F138=1,"Missed","Correctly left alone"))</f>
        <v>Correctly left alone</v>
      </c>
    </row>
    <row r="139" customFormat="false" ht="15" hidden="false" customHeight="false" outlineLevel="0" collapsed="false">
      <c r="A139" s="3" t="str">
        <f aca="false">'Golden Dataset'!A136</f>
        <v>R-08071</v>
      </c>
      <c r="B139" s="3" t="str">
        <f aca="false">'Golden Dataset'!I136</f>
        <v>Honest</v>
      </c>
      <c r="C139" s="3" t="n">
        <f aca="false">MIN(99,$M$5*'Golden Dataset'!E136+$M$6*'Golden Dataset'!F136+IF('Golden Dataset'!G136&lt;30,$M$7,0)+IF('Golden Dataset'!H136="No",$M$8,0))</f>
        <v>0</v>
      </c>
      <c r="D139" s="3" t="str">
        <f aca="false">IF(C139&gt;=$M$9,"Hold and review",IF(C139&gt;=$M$10,"Refund on carrier scan","Approve"))</f>
        <v>Approve</v>
      </c>
      <c r="E139" s="3" t="n">
        <f aca="false">IF(C139&gt;=$M$9,1,0)</f>
        <v>0</v>
      </c>
      <c r="F139" s="3" t="n">
        <f aca="false">IF(LEFT(B139,5)="Abuse",1,0)</f>
        <v>0</v>
      </c>
      <c r="G139" s="3" t="n">
        <f aca="false">IF(B139="Abuse: refund without return",1,0)</f>
        <v>0</v>
      </c>
      <c r="H139" s="3" t="str">
        <f aca="false">IF(E139=1,IF(F139=1,"Correct hold","False alarm"),IF(F139=1,"Missed","Correctly left alone"))</f>
        <v>Correctly left alone</v>
      </c>
    </row>
    <row r="140" customFormat="false" ht="15" hidden="false" customHeight="false" outlineLevel="0" collapsed="false">
      <c r="A140" s="3" t="str">
        <f aca="false">'Golden Dataset'!A137</f>
        <v>R-08106</v>
      </c>
      <c r="B140" s="3" t="str">
        <f aca="false">'Golden Dataset'!I137</f>
        <v>Honest</v>
      </c>
      <c r="C140" s="3" t="n">
        <f aca="false">MIN(99,$M$5*'Golden Dataset'!E137+$M$6*'Golden Dataset'!F137+IF('Golden Dataset'!G137&lt;30,$M$7,0)+IF('Golden Dataset'!H137="No",$M$8,0))</f>
        <v>52</v>
      </c>
      <c r="D140" s="3" t="str">
        <f aca="false">IF(C140&gt;=$M$9,"Hold and review",IF(C140&gt;=$M$10,"Refund on carrier scan","Approve"))</f>
        <v>Refund on carrier scan</v>
      </c>
      <c r="E140" s="3" t="n">
        <f aca="false">IF(C140&gt;=$M$9,1,0)</f>
        <v>0</v>
      </c>
      <c r="F140" s="3" t="n">
        <f aca="false">IF(LEFT(B140,5)="Abuse",1,0)</f>
        <v>0</v>
      </c>
      <c r="G140" s="3" t="n">
        <f aca="false">IF(B140="Abuse: refund without return",1,0)</f>
        <v>0</v>
      </c>
      <c r="H140" s="3" t="str">
        <f aca="false">IF(E140=1,IF(F140=1,"Correct hold","False alarm"),IF(F140=1,"Missed","Correctly left alone"))</f>
        <v>Correctly left alone</v>
      </c>
    </row>
    <row r="141" customFormat="false" ht="15" hidden="false" customHeight="false" outlineLevel="0" collapsed="false">
      <c r="A141" s="3" t="str">
        <f aca="false">'Golden Dataset'!A138</f>
        <v>R-08178</v>
      </c>
      <c r="B141" s="3" t="str">
        <f aca="false">'Golden Dataset'!I138</f>
        <v>Honest</v>
      </c>
      <c r="C141" s="3" t="n">
        <f aca="false">MIN(99,$M$5*'Golden Dataset'!E138+$M$6*'Golden Dataset'!F138+IF('Golden Dataset'!G138&lt;30,$M$7,0)+IF('Golden Dataset'!H138="No",$M$8,0))</f>
        <v>22</v>
      </c>
      <c r="D141" s="3" t="str">
        <f aca="false">IF(C141&gt;=$M$9,"Hold and review",IF(C141&gt;=$M$10,"Refund on carrier scan","Approve"))</f>
        <v>Approve</v>
      </c>
      <c r="E141" s="3" t="n">
        <f aca="false">IF(C141&gt;=$M$9,1,0)</f>
        <v>0</v>
      </c>
      <c r="F141" s="3" t="n">
        <f aca="false">IF(LEFT(B141,5)="Abuse",1,0)</f>
        <v>0</v>
      </c>
      <c r="G141" s="3" t="n">
        <f aca="false">IF(B141="Abuse: refund without return",1,0)</f>
        <v>0</v>
      </c>
      <c r="H141" s="3" t="str">
        <f aca="false">IF(E141=1,IF(F141=1,"Correct hold","False alarm"),IF(F141=1,"Missed","Correctly left alone"))</f>
        <v>Correctly left alone</v>
      </c>
    </row>
    <row r="142" customFormat="false" ht="15" hidden="false" customHeight="false" outlineLevel="0" collapsed="false">
      <c r="A142" s="3" t="str">
        <f aca="false">'Golden Dataset'!A139</f>
        <v>R-08121</v>
      </c>
      <c r="B142" s="3" t="str">
        <f aca="false">'Golden Dataset'!I139</f>
        <v>Honest</v>
      </c>
      <c r="C142" s="3" t="n">
        <f aca="false">MIN(99,$M$5*'Golden Dataset'!E139+$M$6*'Golden Dataset'!F139+IF('Golden Dataset'!G139&lt;30,$M$7,0)+IF('Golden Dataset'!H139="No",$M$8,0))</f>
        <v>0</v>
      </c>
      <c r="D142" s="3" t="str">
        <f aca="false">IF(C142&gt;=$M$9,"Hold and review",IF(C142&gt;=$M$10,"Refund on carrier scan","Approve"))</f>
        <v>Approve</v>
      </c>
      <c r="E142" s="3" t="n">
        <f aca="false">IF(C142&gt;=$M$9,1,0)</f>
        <v>0</v>
      </c>
      <c r="F142" s="3" t="n">
        <f aca="false">IF(LEFT(B142,5)="Abuse",1,0)</f>
        <v>0</v>
      </c>
      <c r="G142" s="3" t="n">
        <f aca="false">IF(B142="Abuse: refund without return",1,0)</f>
        <v>0</v>
      </c>
      <c r="H142" s="3" t="str">
        <f aca="false">IF(E142=1,IF(F142=1,"Correct hold","False alarm"),IF(F142=1,"Missed","Correctly left alone"))</f>
        <v>Correctly left alone</v>
      </c>
    </row>
    <row r="143" customFormat="false" ht="15" hidden="false" customHeight="false" outlineLevel="0" collapsed="false">
      <c r="A143" s="3" t="str">
        <f aca="false">'Golden Dataset'!A140</f>
        <v>R-08125</v>
      </c>
      <c r="B143" s="3" t="str">
        <f aca="false">'Golden Dataset'!I140</f>
        <v>Abuse: repeated damage claims</v>
      </c>
      <c r="C143" s="3" t="n">
        <f aca="false">MIN(99,$M$5*'Golden Dataset'!E140+$M$6*'Golden Dataset'!F140+IF('Golden Dataset'!G140&lt;30,$M$7,0)+IF('Golden Dataset'!H140="No",$M$8,0))</f>
        <v>8</v>
      </c>
      <c r="D143" s="3" t="str">
        <f aca="false">IF(C143&gt;=$M$9,"Hold and review",IF(C143&gt;=$M$10,"Refund on carrier scan","Approve"))</f>
        <v>Approve</v>
      </c>
      <c r="E143" s="3" t="n">
        <f aca="false">IF(C143&gt;=$M$9,1,0)</f>
        <v>0</v>
      </c>
      <c r="F143" s="3" t="n">
        <f aca="false">IF(LEFT(B143,5)="Abuse",1,0)</f>
        <v>1</v>
      </c>
      <c r="G143" s="3" t="n">
        <f aca="false">IF(B143="Abuse: refund without return",1,0)</f>
        <v>0</v>
      </c>
      <c r="H143" s="3" t="str">
        <f aca="false">IF(E143=1,IF(F143=1,"Correct hold","False alarm"),IF(F143=1,"Missed","Correctly left alone"))</f>
        <v>Missed</v>
      </c>
    </row>
    <row r="144" customFormat="false" ht="15" hidden="false" customHeight="false" outlineLevel="0" collapsed="false">
      <c r="A144" s="3" t="str">
        <f aca="false">'Golden Dataset'!A141</f>
        <v>R-08065</v>
      </c>
      <c r="B144" s="3" t="str">
        <f aca="false">'Golden Dataset'!I141</f>
        <v>Abuse: repeated damage claims</v>
      </c>
      <c r="C144" s="3" t="n">
        <f aca="false">MIN(99,$M$5*'Golden Dataset'!E141+$M$6*'Golden Dataset'!F141+IF('Golden Dataset'!G141&lt;30,$M$7,0)+IF('Golden Dataset'!H141="No",$M$8,0))</f>
        <v>30</v>
      </c>
      <c r="D144" s="3" t="str">
        <f aca="false">IF(C144&gt;=$M$9,"Hold and review",IF(C144&gt;=$M$10,"Refund on carrier scan","Approve"))</f>
        <v>Refund on carrier scan</v>
      </c>
      <c r="E144" s="3" t="n">
        <f aca="false">IF(C144&gt;=$M$9,1,0)</f>
        <v>0</v>
      </c>
      <c r="F144" s="3" t="n">
        <f aca="false">IF(LEFT(B144,5)="Abuse",1,0)</f>
        <v>1</v>
      </c>
      <c r="G144" s="3" t="n">
        <f aca="false">IF(B144="Abuse: refund without return",1,0)</f>
        <v>0</v>
      </c>
      <c r="H144" s="3" t="str">
        <f aca="false">IF(E144=1,IF(F144=1,"Correct hold","False alarm"),IF(F144=1,"Missed","Correctly left alone"))</f>
        <v>Missed</v>
      </c>
    </row>
    <row r="145" customFormat="false" ht="15" hidden="false" customHeight="false" outlineLevel="0" collapsed="false">
      <c r="A145" s="3" t="str">
        <f aca="false">'Golden Dataset'!A142</f>
        <v>R-08171</v>
      </c>
      <c r="B145" s="3" t="str">
        <f aca="false">'Golden Dataset'!I142</f>
        <v>Abuse: refund without return</v>
      </c>
      <c r="C145" s="3" t="n">
        <f aca="false">MIN(99,$M$5*'Golden Dataset'!E142+$M$6*'Golden Dataset'!F142+IF('Golden Dataset'!G142&lt;30,$M$7,0)+IF('Golden Dataset'!H142="No",$M$8,0))</f>
        <v>99</v>
      </c>
      <c r="D145" s="3" t="str">
        <f aca="false">IF(C145&gt;=$M$9,"Hold and review",IF(C145&gt;=$M$10,"Refund on carrier scan","Approve"))</f>
        <v>Hold and review</v>
      </c>
      <c r="E145" s="3" t="n">
        <f aca="false">IF(C145&gt;=$M$9,1,0)</f>
        <v>1</v>
      </c>
      <c r="F145" s="3" t="n">
        <f aca="false">IF(LEFT(B145,5)="Abuse",1,0)</f>
        <v>1</v>
      </c>
      <c r="G145" s="3" t="n">
        <f aca="false">IF(B145="Abuse: refund without return",1,0)</f>
        <v>1</v>
      </c>
      <c r="H145" s="3" t="str">
        <f aca="false">IF(E145=1,IF(F145=1,"Correct hold","False alarm"),IF(F145=1,"Missed","Correctly left alone"))</f>
        <v>Correct hold</v>
      </c>
    </row>
    <row r="146" customFormat="false" ht="15" hidden="false" customHeight="false" outlineLevel="0" collapsed="false">
      <c r="A146" s="3" t="str">
        <f aca="false">'Golden Dataset'!A143</f>
        <v>R-08030</v>
      </c>
      <c r="B146" s="3" t="str">
        <f aca="false">'Golden Dataset'!I143</f>
        <v>Honest</v>
      </c>
      <c r="C146" s="3" t="n">
        <f aca="false">MIN(99,$M$5*'Golden Dataset'!E143+$M$6*'Golden Dataset'!F143+IF('Golden Dataset'!G143&lt;30,$M$7,0)+IF('Golden Dataset'!H143="No",$M$8,0))</f>
        <v>0</v>
      </c>
      <c r="D146" s="3" t="str">
        <f aca="false">IF(C146&gt;=$M$9,"Hold and review",IF(C146&gt;=$M$10,"Refund on carrier scan","Approve"))</f>
        <v>Approve</v>
      </c>
      <c r="E146" s="3" t="n">
        <f aca="false">IF(C146&gt;=$M$9,1,0)</f>
        <v>0</v>
      </c>
      <c r="F146" s="3" t="n">
        <f aca="false">IF(LEFT(B146,5)="Abuse",1,0)</f>
        <v>0</v>
      </c>
      <c r="G146" s="3" t="n">
        <f aca="false">IF(B146="Abuse: refund without return",1,0)</f>
        <v>0</v>
      </c>
      <c r="H146" s="3" t="str">
        <f aca="false">IF(E146=1,IF(F146=1,"Correct hold","False alarm"),IF(F146=1,"Missed","Correctly left alone"))</f>
        <v>Correctly left alone</v>
      </c>
    </row>
    <row r="147" customFormat="false" ht="15" hidden="false" customHeight="false" outlineLevel="0" collapsed="false">
      <c r="A147" s="3" t="str">
        <f aca="false">'Golden Dataset'!A144</f>
        <v>R-08119</v>
      </c>
      <c r="B147" s="3" t="str">
        <f aca="false">'Golden Dataset'!I144</f>
        <v>Honest</v>
      </c>
      <c r="C147" s="3" t="n">
        <f aca="false">MIN(99,$M$5*'Golden Dataset'!E144+$M$6*'Golden Dataset'!F144+IF('Golden Dataset'!G144&lt;30,$M$7,0)+IF('Golden Dataset'!H144="No",$M$8,0))</f>
        <v>0</v>
      </c>
      <c r="D147" s="3" t="str">
        <f aca="false">IF(C147&gt;=$M$9,"Hold and review",IF(C147&gt;=$M$10,"Refund on carrier scan","Approve"))</f>
        <v>Approve</v>
      </c>
      <c r="E147" s="3" t="n">
        <f aca="false">IF(C147&gt;=$M$9,1,0)</f>
        <v>0</v>
      </c>
      <c r="F147" s="3" t="n">
        <f aca="false">IF(LEFT(B147,5)="Abuse",1,0)</f>
        <v>0</v>
      </c>
      <c r="G147" s="3" t="n">
        <f aca="false">IF(B147="Abuse: refund without return",1,0)</f>
        <v>0</v>
      </c>
      <c r="H147" s="3" t="str">
        <f aca="false">IF(E147=1,IF(F147=1,"Correct hold","False alarm"),IF(F147=1,"Missed","Correctly left alone"))</f>
        <v>Correctly left alone</v>
      </c>
    </row>
    <row r="148" customFormat="false" ht="15" hidden="false" customHeight="false" outlineLevel="0" collapsed="false">
      <c r="A148" s="3" t="str">
        <f aca="false">'Golden Dataset'!A145</f>
        <v>R-08056</v>
      </c>
      <c r="B148" s="3" t="str">
        <f aca="false">'Golden Dataset'!I145</f>
        <v>Honest</v>
      </c>
      <c r="C148" s="3" t="n">
        <f aca="false">MIN(99,$M$5*'Golden Dataset'!E145+$M$6*'Golden Dataset'!F145+IF('Golden Dataset'!G145&lt;30,$M$7,0)+IF('Golden Dataset'!H145="No",$M$8,0))</f>
        <v>30</v>
      </c>
      <c r="D148" s="3" t="str">
        <f aca="false">IF(C148&gt;=$M$9,"Hold and review",IF(C148&gt;=$M$10,"Refund on carrier scan","Approve"))</f>
        <v>Refund on carrier scan</v>
      </c>
      <c r="E148" s="3" t="n">
        <f aca="false">IF(C148&gt;=$M$9,1,0)</f>
        <v>0</v>
      </c>
      <c r="F148" s="3" t="n">
        <f aca="false">IF(LEFT(B148,5)="Abuse",1,0)</f>
        <v>0</v>
      </c>
      <c r="G148" s="3" t="n">
        <f aca="false">IF(B148="Abuse: refund without return",1,0)</f>
        <v>0</v>
      </c>
      <c r="H148" s="3" t="str">
        <f aca="false">IF(E148=1,IF(F148=1,"Correct hold","False alarm"),IF(F148=1,"Missed","Correctly left alone"))</f>
        <v>Correctly left alone</v>
      </c>
    </row>
    <row r="149" customFormat="false" ht="15" hidden="false" customHeight="false" outlineLevel="0" collapsed="false">
      <c r="A149" s="3" t="str">
        <f aca="false">'Golden Dataset'!A146</f>
        <v>R-08091</v>
      </c>
      <c r="B149" s="3" t="str">
        <f aca="false">'Golden Dataset'!I146</f>
        <v>Honest</v>
      </c>
      <c r="C149" s="3" t="n">
        <f aca="false">MIN(99,$M$5*'Golden Dataset'!E146+$M$6*'Golden Dataset'!F146+IF('Golden Dataset'!G146&lt;30,$M$7,0)+IF('Golden Dataset'!H146="No",$M$8,0))</f>
        <v>0</v>
      </c>
      <c r="D149" s="3" t="str">
        <f aca="false">IF(C149&gt;=$M$9,"Hold and review",IF(C149&gt;=$M$10,"Refund on carrier scan","Approve"))</f>
        <v>Approve</v>
      </c>
      <c r="E149" s="3" t="n">
        <f aca="false">IF(C149&gt;=$M$9,1,0)</f>
        <v>0</v>
      </c>
      <c r="F149" s="3" t="n">
        <f aca="false">IF(LEFT(B149,5)="Abuse",1,0)</f>
        <v>0</v>
      </c>
      <c r="G149" s="3" t="n">
        <f aca="false">IF(B149="Abuse: refund without return",1,0)</f>
        <v>0</v>
      </c>
      <c r="H149" s="3" t="str">
        <f aca="false">IF(E149=1,IF(F149=1,"Correct hold","False alarm"),IF(F149=1,"Missed","Correctly left alone"))</f>
        <v>Correctly left alone</v>
      </c>
    </row>
    <row r="150" customFormat="false" ht="15" hidden="false" customHeight="false" outlineLevel="0" collapsed="false">
      <c r="A150" s="3" t="str">
        <f aca="false">'Golden Dataset'!A147</f>
        <v>R-08024</v>
      </c>
      <c r="B150" s="3" t="str">
        <f aca="false">'Golden Dataset'!I147</f>
        <v>Abuse: wear and return</v>
      </c>
      <c r="C150" s="3" t="n">
        <f aca="false">MIN(99,$M$5*'Golden Dataset'!E147+$M$6*'Golden Dataset'!F147+IF('Golden Dataset'!G147&lt;30,$M$7,0)+IF('Golden Dataset'!H147="No",$M$8,0))</f>
        <v>0</v>
      </c>
      <c r="D150" s="3" t="str">
        <f aca="false">IF(C150&gt;=$M$9,"Hold and review",IF(C150&gt;=$M$10,"Refund on carrier scan","Approve"))</f>
        <v>Approve</v>
      </c>
      <c r="E150" s="3" t="n">
        <f aca="false">IF(C150&gt;=$M$9,1,0)</f>
        <v>0</v>
      </c>
      <c r="F150" s="3" t="n">
        <f aca="false">IF(LEFT(B150,5)="Abuse",1,0)</f>
        <v>1</v>
      </c>
      <c r="G150" s="3" t="n">
        <f aca="false">IF(B150="Abuse: refund without return",1,0)</f>
        <v>0</v>
      </c>
      <c r="H150" s="3" t="str">
        <f aca="false">IF(E150=1,IF(F150=1,"Correct hold","False alarm"),IF(F150=1,"Missed","Correctly left alone"))</f>
        <v>Missed</v>
      </c>
    </row>
    <row r="151" customFormat="false" ht="15" hidden="false" customHeight="false" outlineLevel="0" collapsed="false">
      <c r="A151" s="3" t="str">
        <f aca="false">'Golden Dataset'!A148</f>
        <v>R-08179</v>
      </c>
      <c r="B151" s="3" t="str">
        <f aca="false">'Golden Dataset'!I148</f>
        <v>Abuse: refund without return</v>
      </c>
      <c r="C151" s="3" t="n">
        <f aca="false">MIN(99,$M$5*'Golden Dataset'!E148+$M$6*'Golden Dataset'!F148+IF('Golden Dataset'!G148&lt;30,$M$7,0)+IF('Golden Dataset'!H148="No",$M$8,0))</f>
        <v>74</v>
      </c>
      <c r="D151" s="3" t="str">
        <f aca="false">IF(C151&gt;=$M$9,"Hold and review",IF(C151&gt;=$M$10,"Refund on carrier scan","Approve"))</f>
        <v>Hold and review</v>
      </c>
      <c r="E151" s="3" t="n">
        <f aca="false">IF(C151&gt;=$M$9,1,0)</f>
        <v>1</v>
      </c>
      <c r="F151" s="3" t="n">
        <f aca="false">IF(LEFT(B151,5)="Abuse",1,0)</f>
        <v>1</v>
      </c>
      <c r="G151" s="3" t="n">
        <f aca="false">IF(B151="Abuse: refund without return",1,0)</f>
        <v>1</v>
      </c>
      <c r="H151" s="3" t="str">
        <f aca="false">IF(E151=1,IF(F151=1,"Correct hold","False alarm"),IF(F151=1,"Missed","Correctly left alone"))</f>
        <v>Correct hold</v>
      </c>
    </row>
    <row r="152" customFormat="false" ht="15" hidden="false" customHeight="false" outlineLevel="0" collapsed="false">
      <c r="A152" s="3" t="str">
        <f aca="false">'Golden Dataset'!A149</f>
        <v>R-08079</v>
      </c>
      <c r="B152" s="3" t="str">
        <f aca="false">'Golden Dataset'!I149</f>
        <v>Abuse: refund without return</v>
      </c>
      <c r="C152" s="3" t="n">
        <f aca="false">MIN(99,$M$5*'Golden Dataset'!E149+$M$6*'Golden Dataset'!F149+IF('Golden Dataset'!G149&lt;30,$M$7,0)+IF('Golden Dataset'!H149="No",$M$8,0))</f>
        <v>99</v>
      </c>
      <c r="D152" s="3" t="str">
        <f aca="false">IF(C152&gt;=$M$9,"Hold and review",IF(C152&gt;=$M$10,"Refund on carrier scan","Approve"))</f>
        <v>Hold and review</v>
      </c>
      <c r="E152" s="3" t="n">
        <f aca="false">IF(C152&gt;=$M$9,1,0)</f>
        <v>1</v>
      </c>
      <c r="F152" s="3" t="n">
        <f aca="false">IF(LEFT(B152,5)="Abuse",1,0)</f>
        <v>1</v>
      </c>
      <c r="G152" s="3" t="n">
        <f aca="false">IF(B152="Abuse: refund without return",1,0)</f>
        <v>1</v>
      </c>
      <c r="H152" s="3" t="str">
        <f aca="false">IF(E152=1,IF(F152=1,"Correct hold","False alarm"),IF(F152=1,"Missed","Correctly left alone"))</f>
        <v>Correct hold</v>
      </c>
    </row>
    <row r="153" customFormat="false" ht="15" hidden="false" customHeight="false" outlineLevel="0" collapsed="false">
      <c r="A153" s="3" t="str">
        <f aca="false">'Golden Dataset'!A150</f>
        <v>R-08003</v>
      </c>
      <c r="B153" s="3" t="str">
        <f aca="false">'Golden Dataset'!I150</f>
        <v>Abuse: refund without return</v>
      </c>
      <c r="C153" s="3" t="n">
        <f aca="false">MIN(99,$M$5*'Golden Dataset'!E150+$M$6*'Golden Dataset'!F150+IF('Golden Dataset'!G150&lt;30,$M$7,0)+IF('Golden Dataset'!H150="No",$M$8,0))</f>
        <v>74</v>
      </c>
      <c r="D153" s="3" t="str">
        <f aca="false">IF(C153&gt;=$M$9,"Hold and review",IF(C153&gt;=$M$10,"Refund on carrier scan","Approve"))</f>
        <v>Hold and review</v>
      </c>
      <c r="E153" s="3" t="n">
        <f aca="false">IF(C153&gt;=$M$9,1,0)</f>
        <v>1</v>
      </c>
      <c r="F153" s="3" t="n">
        <f aca="false">IF(LEFT(B153,5)="Abuse",1,0)</f>
        <v>1</v>
      </c>
      <c r="G153" s="3" t="n">
        <f aca="false">IF(B153="Abuse: refund without return",1,0)</f>
        <v>1</v>
      </c>
      <c r="H153" s="3" t="str">
        <f aca="false">IF(E153=1,IF(F153=1,"Correct hold","False alarm"),IF(F153=1,"Missed","Correctly left alone"))</f>
        <v>Correct hold</v>
      </c>
    </row>
    <row r="154" customFormat="false" ht="15" hidden="false" customHeight="false" outlineLevel="0" collapsed="false">
      <c r="A154" s="3" t="str">
        <f aca="false">'Golden Dataset'!A151</f>
        <v>R-08160</v>
      </c>
      <c r="B154" s="3" t="str">
        <f aca="false">'Golden Dataset'!I151</f>
        <v>Honest</v>
      </c>
      <c r="C154" s="3" t="n">
        <f aca="false">MIN(99,$M$5*'Golden Dataset'!E151+$M$6*'Golden Dataset'!F151+IF('Golden Dataset'!G151&lt;30,$M$7,0)+IF('Golden Dataset'!H151="No",$M$8,0))</f>
        <v>22</v>
      </c>
      <c r="D154" s="3" t="str">
        <f aca="false">IF(C154&gt;=$M$9,"Hold and review",IF(C154&gt;=$M$10,"Refund on carrier scan","Approve"))</f>
        <v>Approve</v>
      </c>
      <c r="E154" s="3" t="n">
        <f aca="false">IF(C154&gt;=$M$9,1,0)</f>
        <v>0</v>
      </c>
      <c r="F154" s="3" t="n">
        <f aca="false">IF(LEFT(B154,5)="Abuse",1,0)</f>
        <v>0</v>
      </c>
      <c r="G154" s="3" t="n">
        <f aca="false">IF(B154="Abuse: refund without return",1,0)</f>
        <v>0</v>
      </c>
      <c r="H154" s="3" t="str">
        <f aca="false">IF(E154=1,IF(F154=1,"Correct hold","False alarm"),IF(F154=1,"Missed","Correctly left alone"))</f>
        <v>Correctly left alone</v>
      </c>
    </row>
    <row r="155" customFormat="false" ht="15" hidden="false" customHeight="false" outlineLevel="0" collapsed="false">
      <c r="A155" s="3" t="str">
        <f aca="false">'Golden Dataset'!A152</f>
        <v>R-08059</v>
      </c>
      <c r="B155" s="3" t="str">
        <f aca="false">'Golden Dataset'!I152</f>
        <v>Honest</v>
      </c>
      <c r="C155" s="3" t="n">
        <f aca="false">MIN(99,$M$5*'Golden Dataset'!E152+$M$6*'Golden Dataset'!F152+IF('Golden Dataset'!G152&lt;30,$M$7,0)+IF('Golden Dataset'!H152="No",$M$8,0))</f>
        <v>0</v>
      </c>
      <c r="D155" s="3" t="str">
        <f aca="false">IF(C155&gt;=$M$9,"Hold and review",IF(C155&gt;=$M$10,"Refund on carrier scan","Approve"))</f>
        <v>Approve</v>
      </c>
      <c r="E155" s="3" t="n">
        <f aca="false">IF(C155&gt;=$M$9,1,0)</f>
        <v>0</v>
      </c>
      <c r="F155" s="3" t="n">
        <f aca="false">IF(LEFT(B155,5)="Abuse",1,0)</f>
        <v>0</v>
      </c>
      <c r="G155" s="3" t="n">
        <f aca="false">IF(B155="Abuse: refund without return",1,0)</f>
        <v>0</v>
      </c>
      <c r="H155" s="3" t="str">
        <f aca="false">IF(E155=1,IF(F155=1,"Correct hold","False alarm"),IF(F155=1,"Missed","Correctly left alone"))</f>
        <v>Correctly left alone</v>
      </c>
    </row>
    <row r="156" customFormat="false" ht="15" hidden="false" customHeight="false" outlineLevel="0" collapsed="false">
      <c r="A156" s="3" t="str">
        <f aca="false">'Golden Dataset'!A153</f>
        <v>R-08177</v>
      </c>
      <c r="B156" s="3" t="str">
        <f aca="false">'Golden Dataset'!I153</f>
        <v>Honest</v>
      </c>
      <c r="C156" s="3" t="n">
        <f aca="false">MIN(99,$M$5*'Golden Dataset'!E153+$M$6*'Golden Dataset'!F153+IF('Golden Dataset'!G153&lt;30,$M$7,0)+IF('Golden Dataset'!H153="No",$M$8,0))</f>
        <v>0</v>
      </c>
      <c r="D156" s="3" t="str">
        <f aca="false">IF(C156&gt;=$M$9,"Hold and review",IF(C156&gt;=$M$10,"Refund on carrier scan","Approve"))</f>
        <v>Approve</v>
      </c>
      <c r="E156" s="3" t="n">
        <f aca="false">IF(C156&gt;=$M$9,1,0)</f>
        <v>0</v>
      </c>
      <c r="F156" s="3" t="n">
        <f aca="false">IF(LEFT(B156,5)="Abuse",1,0)</f>
        <v>0</v>
      </c>
      <c r="G156" s="3" t="n">
        <f aca="false">IF(B156="Abuse: refund without return",1,0)</f>
        <v>0</v>
      </c>
      <c r="H156" s="3" t="str">
        <f aca="false">IF(E156=1,IF(F156=1,"Correct hold","False alarm"),IF(F156=1,"Missed","Correctly left alone"))</f>
        <v>Correctly left alone</v>
      </c>
    </row>
    <row r="157" customFormat="false" ht="15" hidden="false" customHeight="false" outlineLevel="0" collapsed="false">
      <c r="A157" s="3" t="str">
        <f aca="false">'Golden Dataset'!A154</f>
        <v>R-08058</v>
      </c>
      <c r="B157" s="3" t="str">
        <f aca="false">'Golden Dataset'!I154</f>
        <v>Honest</v>
      </c>
      <c r="C157" s="3" t="n">
        <f aca="false">MIN(99,$M$5*'Golden Dataset'!E154+$M$6*'Golden Dataset'!F154+IF('Golden Dataset'!G154&lt;30,$M$7,0)+IF('Golden Dataset'!H154="No",$M$8,0))</f>
        <v>48</v>
      </c>
      <c r="D157" s="3" t="str">
        <f aca="false">IF(C157&gt;=$M$9,"Hold and review",IF(C157&gt;=$M$10,"Refund on carrier scan","Approve"))</f>
        <v>Refund on carrier scan</v>
      </c>
      <c r="E157" s="3" t="n">
        <f aca="false">IF(C157&gt;=$M$9,1,0)</f>
        <v>0</v>
      </c>
      <c r="F157" s="3" t="n">
        <f aca="false">IF(LEFT(B157,5)="Abuse",1,0)</f>
        <v>0</v>
      </c>
      <c r="G157" s="3" t="n">
        <f aca="false">IF(B157="Abuse: refund without return",1,0)</f>
        <v>0</v>
      </c>
      <c r="H157" s="3" t="str">
        <f aca="false">IF(E157=1,IF(F157=1,"Correct hold","False alarm"),IF(F157=1,"Missed","Correctly left alone"))</f>
        <v>Correctly left alone</v>
      </c>
    </row>
    <row r="158" customFormat="false" ht="15" hidden="false" customHeight="false" outlineLevel="0" collapsed="false">
      <c r="A158" s="3" t="str">
        <f aca="false">'Golden Dataset'!A155</f>
        <v>R-08093</v>
      </c>
      <c r="B158" s="3" t="str">
        <f aca="false">'Golden Dataset'!I155</f>
        <v>Honest</v>
      </c>
      <c r="C158" s="3" t="n">
        <f aca="false">MIN(99,$M$5*'Golden Dataset'!E155+$M$6*'Golden Dataset'!F155+IF('Golden Dataset'!G155&lt;30,$M$7,0)+IF('Golden Dataset'!H155="No",$M$8,0))</f>
        <v>0</v>
      </c>
      <c r="D158" s="3" t="str">
        <f aca="false">IF(C158&gt;=$M$9,"Hold and review",IF(C158&gt;=$M$10,"Refund on carrier scan","Approve"))</f>
        <v>Approve</v>
      </c>
      <c r="E158" s="3" t="n">
        <f aca="false">IF(C158&gt;=$M$9,1,0)</f>
        <v>0</v>
      </c>
      <c r="F158" s="3" t="n">
        <f aca="false">IF(LEFT(B158,5)="Abuse",1,0)</f>
        <v>0</v>
      </c>
      <c r="G158" s="3" t="n">
        <f aca="false">IF(B158="Abuse: refund without return",1,0)</f>
        <v>0</v>
      </c>
      <c r="H158" s="3" t="str">
        <f aca="false">IF(E158=1,IF(F158=1,"Correct hold","False alarm"),IF(F158=1,"Missed","Correctly left alone"))</f>
        <v>Correctly left alone</v>
      </c>
    </row>
    <row r="159" customFormat="false" ht="15" hidden="false" customHeight="false" outlineLevel="0" collapsed="false">
      <c r="A159" s="3" t="str">
        <f aca="false">'Golden Dataset'!A156</f>
        <v>R-08016</v>
      </c>
      <c r="B159" s="3" t="str">
        <f aca="false">'Golden Dataset'!I156</f>
        <v>Abuse: wear and return</v>
      </c>
      <c r="C159" s="3" t="n">
        <f aca="false">MIN(99,$M$5*'Golden Dataset'!E156+$M$6*'Golden Dataset'!F156+IF('Golden Dataset'!G156&lt;30,$M$7,0)+IF('Golden Dataset'!H156="No",$M$8,0))</f>
        <v>0</v>
      </c>
      <c r="D159" s="3" t="str">
        <f aca="false">IF(C159&gt;=$M$9,"Hold and review",IF(C159&gt;=$M$10,"Refund on carrier scan","Approve"))</f>
        <v>Approve</v>
      </c>
      <c r="E159" s="3" t="n">
        <f aca="false">IF(C159&gt;=$M$9,1,0)</f>
        <v>0</v>
      </c>
      <c r="F159" s="3" t="n">
        <f aca="false">IF(LEFT(B159,5)="Abuse",1,0)</f>
        <v>1</v>
      </c>
      <c r="G159" s="3" t="n">
        <f aca="false">IF(B159="Abuse: refund without return",1,0)</f>
        <v>0</v>
      </c>
      <c r="H159" s="3" t="str">
        <f aca="false">IF(E159=1,IF(F159=1,"Correct hold","False alarm"),IF(F159=1,"Missed","Correctly left alone"))</f>
        <v>Missed</v>
      </c>
    </row>
    <row r="160" customFormat="false" ht="15" hidden="false" customHeight="false" outlineLevel="0" collapsed="false">
      <c r="A160" s="3" t="str">
        <f aca="false">'Golden Dataset'!A157</f>
        <v>R-08175</v>
      </c>
      <c r="B160" s="3" t="str">
        <f aca="false">'Golden Dataset'!I157</f>
        <v>Honest: carrier lost parcel</v>
      </c>
      <c r="C160" s="3" t="n">
        <f aca="false">MIN(99,$M$5*'Golden Dataset'!E157+$M$6*'Golden Dataset'!F157+IF('Golden Dataset'!G157&lt;30,$M$7,0)+IF('Golden Dataset'!H157="No",$M$8,0))</f>
        <v>8</v>
      </c>
      <c r="D160" s="3" t="str">
        <f aca="false">IF(C160&gt;=$M$9,"Hold and review",IF(C160&gt;=$M$10,"Refund on carrier scan","Approve"))</f>
        <v>Approve</v>
      </c>
      <c r="E160" s="3" t="n">
        <f aca="false">IF(C160&gt;=$M$9,1,0)</f>
        <v>0</v>
      </c>
      <c r="F160" s="3" t="n">
        <f aca="false">IF(LEFT(B160,5)="Abuse",1,0)</f>
        <v>0</v>
      </c>
      <c r="G160" s="3" t="n">
        <f aca="false">IF(B160="Abuse: refund without return",1,0)</f>
        <v>0</v>
      </c>
      <c r="H160" s="3" t="str">
        <f aca="false">IF(E160=1,IF(F160=1,"Correct hold","False alarm"),IF(F160=1,"Missed","Correctly left alone"))</f>
        <v>Correctly left alone</v>
      </c>
    </row>
    <row r="161" customFormat="false" ht="15" hidden="false" customHeight="false" outlineLevel="0" collapsed="false">
      <c r="A161" s="3" t="str">
        <f aca="false">'Golden Dataset'!A158</f>
        <v>R-08186</v>
      </c>
      <c r="B161" s="3" t="str">
        <f aca="false">'Golden Dataset'!I158</f>
        <v>Honest</v>
      </c>
      <c r="C161" s="3" t="n">
        <f aca="false">MIN(99,$M$5*'Golden Dataset'!E158+$M$6*'Golden Dataset'!F158+IF('Golden Dataset'!G158&lt;30,$M$7,0)+IF('Golden Dataset'!H158="No",$M$8,0))</f>
        <v>22</v>
      </c>
      <c r="D161" s="3" t="str">
        <f aca="false">IF(C161&gt;=$M$9,"Hold and review",IF(C161&gt;=$M$10,"Refund on carrier scan","Approve"))</f>
        <v>Approve</v>
      </c>
      <c r="E161" s="3" t="n">
        <f aca="false">IF(C161&gt;=$M$9,1,0)</f>
        <v>0</v>
      </c>
      <c r="F161" s="3" t="n">
        <f aca="false">IF(LEFT(B161,5)="Abuse",1,0)</f>
        <v>0</v>
      </c>
      <c r="G161" s="3" t="n">
        <f aca="false">IF(B161="Abuse: refund without return",1,0)</f>
        <v>0</v>
      </c>
      <c r="H161" s="3" t="str">
        <f aca="false">IF(E161=1,IF(F161=1,"Correct hold","False alarm"),IF(F161=1,"Missed","Correctly left alone"))</f>
        <v>Correctly left alone</v>
      </c>
    </row>
    <row r="162" customFormat="false" ht="15" hidden="false" customHeight="false" outlineLevel="0" collapsed="false">
      <c r="A162" s="3" t="str">
        <f aca="false">'Golden Dataset'!A159</f>
        <v>R-08196</v>
      </c>
      <c r="B162" s="3" t="str">
        <f aca="false">'Golden Dataset'!I159</f>
        <v>Abuse: wear and return</v>
      </c>
      <c r="C162" s="3" t="n">
        <f aca="false">MIN(99,$M$5*'Golden Dataset'!E159+$M$6*'Golden Dataset'!F159+IF('Golden Dataset'!G159&lt;30,$M$7,0)+IF('Golden Dataset'!H159="No",$M$8,0))</f>
        <v>0</v>
      </c>
      <c r="D162" s="3" t="str">
        <f aca="false">IF(C162&gt;=$M$9,"Hold and review",IF(C162&gt;=$M$10,"Refund on carrier scan","Approve"))</f>
        <v>Approve</v>
      </c>
      <c r="E162" s="3" t="n">
        <f aca="false">IF(C162&gt;=$M$9,1,0)</f>
        <v>0</v>
      </c>
      <c r="F162" s="3" t="n">
        <f aca="false">IF(LEFT(B162,5)="Abuse",1,0)</f>
        <v>1</v>
      </c>
      <c r="G162" s="3" t="n">
        <f aca="false">IF(B162="Abuse: refund without return",1,0)</f>
        <v>0</v>
      </c>
      <c r="H162" s="3" t="str">
        <f aca="false">IF(E162=1,IF(F162=1,"Correct hold","False alarm"),IF(F162=1,"Missed","Correctly left alone"))</f>
        <v>Missed</v>
      </c>
    </row>
    <row r="163" customFormat="false" ht="15" hidden="false" customHeight="false" outlineLevel="0" collapsed="false">
      <c r="A163" s="3" t="str">
        <f aca="false">'Golden Dataset'!A160</f>
        <v>R-08117</v>
      </c>
      <c r="B163" s="3" t="str">
        <f aca="false">'Golden Dataset'!I160</f>
        <v>Honest</v>
      </c>
      <c r="C163" s="3" t="n">
        <f aca="false">MIN(99,$M$5*'Golden Dataset'!E160+$M$6*'Golden Dataset'!F160+IF('Golden Dataset'!G160&lt;30,$M$7,0)+IF('Golden Dataset'!H160="No",$M$8,0))</f>
        <v>12</v>
      </c>
      <c r="D163" s="3" t="str">
        <f aca="false">IF(C163&gt;=$M$9,"Hold and review",IF(C163&gt;=$M$10,"Refund on carrier scan","Approve"))</f>
        <v>Approve</v>
      </c>
      <c r="E163" s="3" t="n">
        <f aca="false">IF(C163&gt;=$M$9,1,0)</f>
        <v>0</v>
      </c>
      <c r="F163" s="3" t="n">
        <f aca="false">IF(LEFT(B163,5)="Abuse",1,0)</f>
        <v>0</v>
      </c>
      <c r="G163" s="3" t="n">
        <f aca="false">IF(B163="Abuse: refund without return",1,0)</f>
        <v>0</v>
      </c>
      <c r="H163" s="3" t="str">
        <f aca="false">IF(E163=1,IF(F163=1,"Correct hold","False alarm"),IF(F163=1,"Missed","Correctly left alone"))</f>
        <v>Correctly left alone</v>
      </c>
    </row>
    <row r="164" customFormat="false" ht="15" hidden="false" customHeight="false" outlineLevel="0" collapsed="false">
      <c r="A164" s="3" t="str">
        <f aca="false">'Golden Dataset'!A161</f>
        <v>R-08185</v>
      </c>
      <c r="B164" s="3" t="str">
        <f aca="false">'Golden Dataset'!I161</f>
        <v>Honest</v>
      </c>
      <c r="C164" s="3" t="n">
        <f aca="false">MIN(99,$M$5*'Golden Dataset'!E161+$M$6*'Golden Dataset'!F161+IF('Golden Dataset'!G161&lt;30,$M$7,0)+IF('Golden Dataset'!H161="No",$M$8,0))</f>
        <v>0</v>
      </c>
      <c r="D164" s="3" t="str">
        <f aca="false">IF(C164&gt;=$M$9,"Hold and review",IF(C164&gt;=$M$10,"Refund on carrier scan","Approve"))</f>
        <v>Approve</v>
      </c>
      <c r="E164" s="3" t="n">
        <f aca="false">IF(C164&gt;=$M$9,1,0)</f>
        <v>0</v>
      </c>
      <c r="F164" s="3" t="n">
        <f aca="false">IF(LEFT(B164,5)="Abuse",1,0)</f>
        <v>0</v>
      </c>
      <c r="G164" s="3" t="n">
        <f aca="false">IF(B164="Abuse: refund without return",1,0)</f>
        <v>0</v>
      </c>
      <c r="H164" s="3" t="str">
        <f aca="false">IF(E164=1,IF(F164=1,"Correct hold","False alarm"),IF(F164=1,"Missed","Correctly left alone"))</f>
        <v>Correctly left alone</v>
      </c>
    </row>
    <row r="165" customFormat="false" ht="15" hidden="false" customHeight="false" outlineLevel="0" collapsed="false">
      <c r="A165" s="3" t="str">
        <f aca="false">'Golden Dataset'!A162</f>
        <v>R-08014</v>
      </c>
      <c r="B165" s="3" t="str">
        <f aca="false">'Golden Dataset'!I162</f>
        <v>Abuse: repeated damage claims</v>
      </c>
      <c r="C165" s="3" t="n">
        <f aca="false">MIN(99,$M$5*'Golden Dataset'!E162+$M$6*'Golden Dataset'!F162+IF('Golden Dataset'!G162&lt;30,$M$7,0)+IF('Golden Dataset'!H162="No",$M$8,0))</f>
        <v>30</v>
      </c>
      <c r="D165" s="3" t="str">
        <f aca="false">IF(C165&gt;=$M$9,"Hold and review",IF(C165&gt;=$M$10,"Refund on carrier scan","Approve"))</f>
        <v>Refund on carrier scan</v>
      </c>
      <c r="E165" s="3" t="n">
        <f aca="false">IF(C165&gt;=$M$9,1,0)</f>
        <v>0</v>
      </c>
      <c r="F165" s="3" t="n">
        <f aca="false">IF(LEFT(B165,5)="Abuse",1,0)</f>
        <v>1</v>
      </c>
      <c r="G165" s="3" t="n">
        <f aca="false">IF(B165="Abuse: refund without return",1,0)</f>
        <v>0</v>
      </c>
      <c r="H165" s="3" t="str">
        <f aca="false">IF(E165=1,IF(F165=1,"Correct hold","False alarm"),IF(F165=1,"Missed","Correctly left alone"))</f>
        <v>Missed</v>
      </c>
    </row>
    <row r="166" customFormat="false" ht="15" hidden="false" customHeight="false" outlineLevel="0" collapsed="false">
      <c r="A166" s="3" t="str">
        <f aca="false">'Golden Dataset'!A163</f>
        <v>R-08037</v>
      </c>
      <c r="B166" s="3" t="str">
        <f aca="false">'Golden Dataset'!I163</f>
        <v>Honest</v>
      </c>
      <c r="C166" s="3" t="n">
        <f aca="false">MIN(99,$M$5*'Golden Dataset'!E163+$M$6*'Golden Dataset'!F163+IF('Golden Dataset'!G163&lt;30,$M$7,0)+IF('Golden Dataset'!H163="No",$M$8,0))</f>
        <v>22</v>
      </c>
      <c r="D166" s="3" t="str">
        <f aca="false">IF(C166&gt;=$M$9,"Hold and review",IF(C166&gt;=$M$10,"Refund on carrier scan","Approve"))</f>
        <v>Approve</v>
      </c>
      <c r="E166" s="3" t="n">
        <f aca="false">IF(C166&gt;=$M$9,1,0)</f>
        <v>0</v>
      </c>
      <c r="F166" s="3" t="n">
        <f aca="false">IF(LEFT(B166,5)="Abuse",1,0)</f>
        <v>0</v>
      </c>
      <c r="G166" s="3" t="n">
        <f aca="false">IF(B166="Abuse: refund without return",1,0)</f>
        <v>0</v>
      </c>
      <c r="H166" s="3" t="str">
        <f aca="false">IF(E166=1,IF(F166=1,"Correct hold","False alarm"),IF(F166=1,"Missed","Correctly left alone"))</f>
        <v>Correctly left alone</v>
      </c>
    </row>
    <row r="167" customFormat="false" ht="15" hidden="false" customHeight="false" outlineLevel="0" collapsed="false">
      <c r="A167" s="3" t="str">
        <f aca="false">'Golden Dataset'!A164</f>
        <v>R-08068</v>
      </c>
      <c r="B167" s="3" t="str">
        <f aca="false">'Golden Dataset'!I164</f>
        <v>Abuse: wear and return</v>
      </c>
      <c r="C167" s="3" t="n">
        <f aca="false">MIN(99,$M$5*'Golden Dataset'!E164+$M$6*'Golden Dataset'!F164+IF('Golden Dataset'!G164&lt;30,$M$7,0)+IF('Golden Dataset'!H164="No",$M$8,0))</f>
        <v>0</v>
      </c>
      <c r="D167" s="3" t="str">
        <f aca="false">IF(C167&gt;=$M$9,"Hold and review",IF(C167&gt;=$M$10,"Refund on carrier scan","Approve"))</f>
        <v>Approve</v>
      </c>
      <c r="E167" s="3" t="n">
        <f aca="false">IF(C167&gt;=$M$9,1,0)</f>
        <v>0</v>
      </c>
      <c r="F167" s="3" t="n">
        <f aca="false">IF(LEFT(B167,5)="Abuse",1,0)</f>
        <v>1</v>
      </c>
      <c r="G167" s="3" t="n">
        <f aca="false">IF(B167="Abuse: refund without return",1,0)</f>
        <v>0</v>
      </c>
      <c r="H167" s="3" t="str">
        <f aca="false">IF(E167=1,IF(F167=1,"Correct hold","False alarm"),IF(F167=1,"Missed","Correctly left alone"))</f>
        <v>Missed</v>
      </c>
    </row>
    <row r="168" customFormat="false" ht="15" hidden="false" customHeight="false" outlineLevel="0" collapsed="false">
      <c r="A168" s="3" t="str">
        <f aca="false">'Golden Dataset'!A165</f>
        <v>R-08042</v>
      </c>
      <c r="B168" s="3" t="str">
        <f aca="false">'Golden Dataset'!I165</f>
        <v>Abuse: refund without return</v>
      </c>
      <c r="C168" s="3" t="n">
        <f aca="false">MIN(99,$M$5*'Golden Dataset'!E165+$M$6*'Golden Dataset'!F165+IF('Golden Dataset'!G165&lt;30,$M$7,0)+IF('Golden Dataset'!H165="No",$M$8,0))</f>
        <v>42</v>
      </c>
      <c r="D168" s="3" t="str">
        <f aca="false">IF(C168&gt;=$M$9,"Hold and review",IF(C168&gt;=$M$10,"Refund on carrier scan","Approve"))</f>
        <v>Refund on carrier scan</v>
      </c>
      <c r="E168" s="3" t="n">
        <f aca="false">IF(C168&gt;=$M$9,1,0)</f>
        <v>0</v>
      </c>
      <c r="F168" s="3" t="n">
        <f aca="false">IF(LEFT(B168,5)="Abuse",1,0)</f>
        <v>1</v>
      </c>
      <c r="G168" s="3" t="n">
        <f aca="false">IF(B168="Abuse: refund without return",1,0)</f>
        <v>1</v>
      </c>
      <c r="H168" s="3" t="str">
        <f aca="false">IF(E168=1,IF(F168=1,"Correct hold","False alarm"),IF(F168=1,"Missed","Correctly left alone"))</f>
        <v>Missed</v>
      </c>
    </row>
    <row r="169" customFormat="false" ht="15" hidden="false" customHeight="false" outlineLevel="0" collapsed="false">
      <c r="A169" s="3" t="str">
        <f aca="false">'Golden Dataset'!A166</f>
        <v>R-08026</v>
      </c>
      <c r="B169" s="3" t="str">
        <f aca="false">'Golden Dataset'!I166</f>
        <v>Honest</v>
      </c>
      <c r="C169" s="3" t="n">
        <f aca="false">MIN(99,$M$5*'Golden Dataset'!E166+$M$6*'Golden Dataset'!F166+IF('Golden Dataset'!G166&lt;30,$M$7,0)+IF('Golden Dataset'!H166="No",$M$8,0))</f>
        <v>0</v>
      </c>
      <c r="D169" s="3" t="str">
        <f aca="false">IF(C169&gt;=$M$9,"Hold and review",IF(C169&gt;=$M$10,"Refund on carrier scan","Approve"))</f>
        <v>Approve</v>
      </c>
      <c r="E169" s="3" t="n">
        <f aca="false">IF(C169&gt;=$M$9,1,0)</f>
        <v>0</v>
      </c>
      <c r="F169" s="3" t="n">
        <f aca="false">IF(LEFT(B169,5)="Abuse",1,0)</f>
        <v>0</v>
      </c>
      <c r="G169" s="3" t="n">
        <f aca="false">IF(B169="Abuse: refund without return",1,0)</f>
        <v>0</v>
      </c>
      <c r="H169" s="3" t="str">
        <f aca="false">IF(E169=1,IF(F169=1,"Correct hold","False alarm"),IF(F169=1,"Missed","Correctly left alone"))</f>
        <v>Correctly left alone</v>
      </c>
    </row>
    <row r="170" customFormat="false" ht="15" hidden="false" customHeight="false" outlineLevel="0" collapsed="false">
      <c r="A170" s="3" t="str">
        <f aca="false">'Golden Dataset'!A167</f>
        <v>R-08139</v>
      </c>
      <c r="B170" s="3" t="str">
        <f aca="false">'Golden Dataset'!I167</f>
        <v>Honest</v>
      </c>
      <c r="C170" s="3" t="n">
        <f aca="false">MIN(99,$M$5*'Golden Dataset'!E167+$M$6*'Golden Dataset'!F167+IF('Golden Dataset'!G167&lt;30,$M$7,0)+IF('Golden Dataset'!H167="No",$M$8,0))</f>
        <v>0</v>
      </c>
      <c r="D170" s="3" t="str">
        <f aca="false">IF(C170&gt;=$M$9,"Hold and review",IF(C170&gt;=$M$10,"Refund on carrier scan","Approve"))</f>
        <v>Approve</v>
      </c>
      <c r="E170" s="3" t="n">
        <f aca="false">IF(C170&gt;=$M$9,1,0)</f>
        <v>0</v>
      </c>
      <c r="F170" s="3" t="n">
        <f aca="false">IF(LEFT(B170,5)="Abuse",1,0)</f>
        <v>0</v>
      </c>
      <c r="G170" s="3" t="n">
        <f aca="false">IF(B170="Abuse: refund without return",1,0)</f>
        <v>0</v>
      </c>
      <c r="H170" s="3" t="str">
        <f aca="false">IF(E170=1,IF(F170=1,"Correct hold","False alarm"),IF(F170=1,"Missed","Correctly left alone"))</f>
        <v>Correctly left alone</v>
      </c>
    </row>
    <row r="171" customFormat="false" ht="15" hidden="false" customHeight="false" outlineLevel="0" collapsed="false">
      <c r="A171" s="3" t="str">
        <f aca="false">'Golden Dataset'!A168</f>
        <v>R-08136</v>
      </c>
      <c r="B171" s="3" t="str">
        <f aca="false">'Golden Dataset'!I168</f>
        <v>Honest</v>
      </c>
      <c r="C171" s="3" t="n">
        <f aca="false">MIN(99,$M$5*'Golden Dataset'!E168+$M$6*'Golden Dataset'!F168+IF('Golden Dataset'!G168&lt;30,$M$7,0)+IF('Golden Dataset'!H168="No",$M$8,0))</f>
        <v>0</v>
      </c>
      <c r="D171" s="3" t="str">
        <f aca="false">IF(C171&gt;=$M$9,"Hold and review",IF(C171&gt;=$M$10,"Refund on carrier scan","Approve"))</f>
        <v>Approve</v>
      </c>
      <c r="E171" s="3" t="n">
        <f aca="false">IF(C171&gt;=$M$9,1,0)</f>
        <v>0</v>
      </c>
      <c r="F171" s="3" t="n">
        <f aca="false">IF(LEFT(B171,5)="Abuse",1,0)</f>
        <v>0</v>
      </c>
      <c r="G171" s="3" t="n">
        <f aca="false">IF(B171="Abuse: refund without return",1,0)</f>
        <v>0</v>
      </c>
      <c r="H171" s="3" t="str">
        <f aca="false">IF(E171=1,IF(F171=1,"Correct hold","False alarm"),IF(F171=1,"Missed","Correctly left alone"))</f>
        <v>Correctly left alone</v>
      </c>
    </row>
    <row r="172" customFormat="false" ht="15" hidden="false" customHeight="false" outlineLevel="0" collapsed="false">
      <c r="A172" s="3" t="str">
        <f aca="false">'Golden Dataset'!A169</f>
        <v>R-08006</v>
      </c>
      <c r="B172" s="3" t="str">
        <f aca="false">'Golden Dataset'!I169</f>
        <v>Honest</v>
      </c>
      <c r="C172" s="3" t="n">
        <f aca="false">MIN(99,$M$5*'Golden Dataset'!E169+$M$6*'Golden Dataset'!F169+IF('Golden Dataset'!G169&lt;30,$M$7,0)+IF('Golden Dataset'!H169="No",$M$8,0))</f>
        <v>0</v>
      </c>
      <c r="D172" s="3" t="str">
        <f aca="false">IF(C172&gt;=$M$9,"Hold and review",IF(C172&gt;=$M$10,"Refund on carrier scan","Approve"))</f>
        <v>Approve</v>
      </c>
      <c r="E172" s="3" t="n">
        <f aca="false">IF(C172&gt;=$M$9,1,0)</f>
        <v>0</v>
      </c>
      <c r="F172" s="3" t="n">
        <f aca="false">IF(LEFT(B172,5)="Abuse",1,0)</f>
        <v>0</v>
      </c>
      <c r="G172" s="3" t="n">
        <f aca="false">IF(B172="Abuse: refund without return",1,0)</f>
        <v>0</v>
      </c>
      <c r="H172" s="3" t="str">
        <f aca="false">IF(E172=1,IF(F172=1,"Correct hold","False alarm"),IF(F172=1,"Missed","Correctly left alone"))</f>
        <v>Correctly left alone</v>
      </c>
    </row>
    <row r="173" customFormat="false" ht="15" hidden="false" customHeight="false" outlineLevel="0" collapsed="false">
      <c r="A173" s="3" t="str">
        <f aca="false">'Golden Dataset'!A170</f>
        <v>R-08152</v>
      </c>
      <c r="B173" s="3" t="str">
        <f aca="false">'Golden Dataset'!I170</f>
        <v>Honest</v>
      </c>
      <c r="C173" s="3" t="n">
        <f aca="false">MIN(99,$M$5*'Golden Dataset'!E170+$M$6*'Golden Dataset'!F170+IF('Golden Dataset'!G170&lt;30,$M$7,0)+IF('Golden Dataset'!H170="No",$M$8,0))</f>
        <v>0</v>
      </c>
      <c r="D173" s="3" t="str">
        <f aca="false">IF(C173&gt;=$M$9,"Hold and review",IF(C173&gt;=$M$10,"Refund on carrier scan","Approve"))</f>
        <v>Approve</v>
      </c>
      <c r="E173" s="3" t="n">
        <f aca="false">IF(C173&gt;=$M$9,1,0)</f>
        <v>0</v>
      </c>
      <c r="F173" s="3" t="n">
        <f aca="false">IF(LEFT(B173,5)="Abuse",1,0)</f>
        <v>0</v>
      </c>
      <c r="G173" s="3" t="n">
        <f aca="false">IF(B173="Abuse: refund without return",1,0)</f>
        <v>0</v>
      </c>
      <c r="H173" s="3" t="str">
        <f aca="false">IF(E173=1,IF(F173=1,"Correct hold","False alarm"),IF(F173=1,"Missed","Correctly left alone"))</f>
        <v>Correctly left alone</v>
      </c>
    </row>
    <row r="174" customFormat="false" ht="15" hidden="false" customHeight="false" outlineLevel="0" collapsed="false">
      <c r="A174" s="3" t="str">
        <f aca="false">'Golden Dataset'!A171</f>
        <v>R-08101</v>
      </c>
      <c r="B174" s="3" t="str">
        <f aca="false">'Golden Dataset'!I171</f>
        <v>Abuse: refund without return</v>
      </c>
      <c r="C174" s="3" t="n">
        <f aca="false">MIN(99,$M$5*'Golden Dataset'!E171+$M$6*'Golden Dataset'!F171+IF('Golden Dataset'!G171&lt;30,$M$7,0)+IF('Golden Dataset'!H171="No",$M$8,0))</f>
        <v>86</v>
      </c>
      <c r="D174" s="3" t="str">
        <f aca="false">IF(C174&gt;=$M$9,"Hold and review",IF(C174&gt;=$M$10,"Refund on carrier scan","Approve"))</f>
        <v>Hold and review</v>
      </c>
      <c r="E174" s="3" t="n">
        <f aca="false">IF(C174&gt;=$M$9,1,0)</f>
        <v>1</v>
      </c>
      <c r="F174" s="3" t="n">
        <f aca="false">IF(LEFT(B174,5)="Abuse",1,0)</f>
        <v>1</v>
      </c>
      <c r="G174" s="3" t="n">
        <f aca="false">IF(B174="Abuse: refund without return",1,0)</f>
        <v>1</v>
      </c>
      <c r="H174" s="3" t="str">
        <f aca="false">IF(E174=1,IF(F174=1,"Correct hold","False alarm"),IF(F174=1,"Missed","Correctly left alone"))</f>
        <v>Correct hold</v>
      </c>
    </row>
    <row r="175" customFormat="false" ht="15" hidden="false" customHeight="false" outlineLevel="0" collapsed="false">
      <c r="A175" s="3" t="str">
        <f aca="false">'Golden Dataset'!A172</f>
        <v>R-08165</v>
      </c>
      <c r="B175" s="3" t="str">
        <f aca="false">'Golden Dataset'!I172</f>
        <v>Honest</v>
      </c>
      <c r="C175" s="3" t="n">
        <f aca="false">MIN(99,$M$5*'Golden Dataset'!E172+$M$6*'Golden Dataset'!F172+IF('Golden Dataset'!G172&lt;30,$M$7,0)+IF('Golden Dataset'!H172="No",$M$8,0))</f>
        <v>0</v>
      </c>
      <c r="D175" s="3" t="str">
        <f aca="false">IF(C175&gt;=$M$9,"Hold and review",IF(C175&gt;=$M$10,"Refund on carrier scan","Approve"))</f>
        <v>Approve</v>
      </c>
      <c r="E175" s="3" t="n">
        <f aca="false">IF(C175&gt;=$M$9,1,0)</f>
        <v>0</v>
      </c>
      <c r="F175" s="3" t="n">
        <f aca="false">IF(LEFT(B175,5)="Abuse",1,0)</f>
        <v>0</v>
      </c>
      <c r="G175" s="3" t="n">
        <f aca="false">IF(B175="Abuse: refund without return",1,0)</f>
        <v>0</v>
      </c>
      <c r="H175" s="3" t="str">
        <f aca="false">IF(E175=1,IF(F175=1,"Correct hold","False alarm"),IF(F175=1,"Missed","Correctly left alone"))</f>
        <v>Correctly left alone</v>
      </c>
    </row>
    <row r="176" customFormat="false" ht="15" hidden="false" customHeight="false" outlineLevel="0" collapsed="false">
      <c r="A176" s="3" t="str">
        <f aca="false">'Golden Dataset'!A173</f>
        <v>R-08012</v>
      </c>
      <c r="B176" s="3" t="str">
        <f aca="false">'Golden Dataset'!I173</f>
        <v>Honest</v>
      </c>
      <c r="C176" s="3" t="n">
        <f aca="false">MIN(99,$M$5*'Golden Dataset'!E173+$M$6*'Golden Dataset'!F173+IF('Golden Dataset'!G173&lt;30,$M$7,0)+IF('Golden Dataset'!H173="No",$M$8,0))</f>
        <v>0</v>
      </c>
      <c r="D176" s="3" t="str">
        <f aca="false">IF(C176&gt;=$M$9,"Hold and review",IF(C176&gt;=$M$10,"Refund on carrier scan","Approve"))</f>
        <v>Approve</v>
      </c>
      <c r="E176" s="3" t="n">
        <f aca="false">IF(C176&gt;=$M$9,1,0)</f>
        <v>0</v>
      </c>
      <c r="F176" s="3" t="n">
        <f aca="false">IF(LEFT(B176,5)="Abuse",1,0)</f>
        <v>0</v>
      </c>
      <c r="G176" s="3" t="n">
        <f aca="false">IF(B176="Abuse: refund without return",1,0)</f>
        <v>0</v>
      </c>
      <c r="H176" s="3" t="str">
        <f aca="false">IF(E176=1,IF(F176=1,"Correct hold","False alarm"),IF(F176=1,"Missed","Correctly left alone"))</f>
        <v>Correctly left alone</v>
      </c>
    </row>
    <row r="177" customFormat="false" ht="15" hidden="false" customHeight="false" outlineLevel="0" collapsed="false">
      <c r="A177" s="3" t="str">
        <f aca="false">'Golden Dataset'!A174</f>
        <v>R-08017</v>
      </c>
      <c r="B177" s="3" t="str">
        <f aca="false">'Golden Dataset'!I174</f>
        <v>Abuse: reseller ring</v>
      </c>
      <c r="C177" s="3" t="n">
        <f aca="false">MIN(99,$M$5*'Golden Dataset'!E174+$M$6*'Golden Dataset'!F174+IF('Golden Dataset'!G174&lt;30,$M$7,0)+IF('Golden Dataset'!H174="No",$M$8,0))</f>
        <v>99</v>
      </c>
      <c r="D177" s="3" t="str">
        <f aca="false">IF(C177&gt;=$M$9,"Hold and review",IF(C177&gt;=$M$10,"Refund on carrier scan","Approve"))</f>
        <v>Hold and review</v>
      </c>
      <c r="E177" s="3" t="n">
        <f aca="false">IF(C177&gt;=$M$9,1,0)</f>
        <v>1</v>
      </c>
      <c r="F177" s="3" t="n">
        <f aca="false">IF(LEFT(B177,5)="Abuse",1,0)</f>
        <v>1</v>
      </c>
      <c r="G177" s="3" t="n">
        <f aca="false">IF(B177="Abuse: refund without return",1,0)</f>
        <v>0</v>
      </c>
      <c r="H177" s="3" t="str">
        <f aca="false">IF(E177=1,IF(F177=1,"Correct hold","False alarm"),IF(F177=1,"Missed","Correctly left alone"))</f>
        <v>Correct hold</v>
      </c>
    </row>
    <row r="178" customFormat="false" ht="15" hidden="false" customHeight="false" outlineLevel="0" collapsed="false">
      <c r="A178" s="3" t="str">
        <f aca="false">'Golden Dataset'!A175</f>
        <v>R-08062</v>
      </c>
      <c r="B178" s="3" t="str">
        <f aca="false">'Golden Dataset'!I175</f>
        <v>Honest: carrier lost parcel</v>
      </c>
      <c r="C178" s="3" t="n">
        <f aca="false">MIN(99,$M$5*'Golden Dataset'!E175+$M$6*'Golden Dataset'!F175+IF('Golden Dataset'!G175&lt;30,$M$7,0)+IF('Golden Dataset'!H175="No",$M$8,0))</f>
        <v>30</v>
      </c>
      <c r="D178" s="3" t="str">
        <f aca="false">IF(C178&gt;=$M$9,"Hold and review",IF(C178&gt;=$M$10,"Refund on carrier scan","Approve"))</f>
        <v>Refund on carrier scan</v>
      </c>
      <c r="E178" s="3" t="n">
        <f aca="false">IF(C178&gt;=$M$9,1,0)</f>
        <v>0</v>
      </c>
      <c r="F178" s="3" t="n">
        <f aca="false">IF(LEFT(B178,5)="Abuse",1,0)</f>
        <v>0</v>
      </c>
      <c r="G178" s="3" t="n">
        <f aca="false">IF(B178="Abuse: refund without return",1,0)</f>
        <v>0</v>
      </c>
      <c r="H178" s="3" t="str">
        <f aca="false">IF(E178=1,IF(F178=1,"Correct hold","False alarm"),IF(F178=1,"Missed","Correctly left alone"))</f>
        <v>Correctly left alone</v>
      </c>
    </row>
    <row r="179" customFormat="false" ht="15" hidden="false" customHeight="false" outlineLevel="0" collapsed="false">
      <c r="A179" s="3" t="str">
        <f aca="false">'Golden Dataset'!A176</f>
        <v>R-08097</v>
      </c>
      <c r="B179" s="3" t="str">
        <f aca="false">'Golden Dataset'!I176</f>
        <v>Honest</v>
      </c>
      <c r="C179" s="3" t="n">
        <f aca="false">MIN(99,$M$5*'Golden Dataset'!E176+$M$6*'Golden Dataset'!F176+IF('Golden Dataset'!G176&lt;30,$M$7,0)+IF('Golden Dataset'!H176="No",$M$8,0))</f>
        <v>0</v>
      </c>
      <c r="D179" s="3" t="str">
        <f aca="false">IF(C179&gt;=$M$9,"Hold and review",IF(C179&gt;=$M$10,"Refund on carrier scan","Approve"))</f>
        <v>Approve</v>
      </c>
      <c r="E179" s="3" t="n">
        <f aca="false">IF(C179&gt;=$M$9,1,0)</f>
        <v>0</v>
      </c>
      <c r="F179" s="3" t="n">
        <f aca="false">IF(LEFT(B179,5)="Abuse",1,0)</f>
        <v>0</v>
      </c>
      <c r="G179" s="3" t="n">
        <f aca="false">IF(B179="Abuse: refund without return",1,0)</f>
        <v>0</v>
      </c>
      <c r="H179" s="3" t="str">
        <f aca="false">IF(E179=1,IF(F179=1,"Correct hold","False alarm"),IF(F179=1,"Missed","Correctly left alone"))</f>
        <v>Correctly left alone</v>
      </c>
    </row>
    <row r="180" customFormat="false" ht="15" hidden="false" customHeight="false" outlineLevel="0" collapsed="false">
      <c r="A180" s="3" t="str">
        <f aca="false">'Golden Dataset'!A177</f>
        <v>R-08127</v>
      </c>
      <c r="B180" s="3" t="str">
        <f aca="false">'Golden Dataset'!I177</f>
        <v>Honest</v>
      </c>
      <c r="C180" s="3" t="n">
        <f aca="false">MIN(99,$M$5*'Golden Dataset'!E177+$M$6*'Golden Dataset'!F177+IF('Golden Dataset'!G177&lt;30,$M$7,0)+IF('Golden Dataset'!H177="No",$M$8,0))</f>
        <v>0</v>
      </c>
      <c r="D180" s="3" t="str">
        <f aca="false">IF(C180&gt;=$M$9,"Hold and review",IF(C180&gt;=$M$10,"Refund on carrier scan","Approve"))</f>
        <v>Approve</v>
      </c>
      <c r="E180" s="3" t="n">
        <f aca="false">IF(C180&gt;=$M$9,1,0)</f>
        <v>0</v>
      </c>
      <c r="F180" s="3" t="n">
        <f aca="false">IF(LEFT(B180,5)="Abuse",1,0)</f>
        <v>0</v>
      </c>
      <c r="G180" s="3" t="n">
        <f aca="false">IF(B180="Abuse: refund without return",1,0)</f>
        <v>0</v>
      </c>
      <c r="H180" s="3" t="str">
        <f aca="false">IF(E180=1,IF(F180=1,"Correct hold","False alarm"),IF(F180=1,"Missed","Correctly left alone"))</f>
        <v>Correctly left alone</v>
      </c>
    </row>
    <row r="181" customFormat="false" ht="15" hidden="false" customHeight="false" outlineLevel="0" collapsed="false">
      <c r="A181" s="3" t="str">
        <f aca="false">'Golden Dataset'!A178</f>
        <v>R-08095</v>
      </c>
      <c r="B181" s="3" t="str">
        <f aca="false">'Golden Dataset'!I178</f>
        <v>Honest</v>
      </c>
      <c r="C181" s="3" t="n">
        <f aca="false">MIN(99,$M$5*'Golden Dataset'!E178+$M$6*'Golden Dataset'!F178+IF('Golden Dataset'!G178&lt;30,$M$7,0)+IF('Golden Dataset'!H178="No",$M$8,0))</f>
        <v>0</v>
      </c>
      <c r="D181" s="3" t="str">
        <f aca="false">IF(C181&gt;=$M$9,"Hold and review",IF(C181&gt;=$M$10,"Refund on carrier scan","Approve"))</f>
        <v>Approve</v>
      </c>
      <c r="E181" s="3" t="n">
        <f aca="false">IF(C181&gt;=$M$9,1,0)</f>
        <v>0</v>
      </c>
      <c r="F181" s="3" t="n">
        <f aca="false">IF(LEFT(B181,5)="Abuse",1,0)</f>
        <v>0</v>
      </c>
      <c r="G181" s="3" t="n">
        <f aca="false">IF(B181="Abuse: refund without return",1,0)</f>
        <v>0</v>
      </c>
      <c r="H181" s="3" t="str">
        <f aca="false">IF(E181=1,IF(F181=1,"Correct hold","False alarm"),IF(F181=1,"Missed","Correctly left alone"))</f>
        <v>Correctly left alone</v>
      </c>
    </row>
    <row r="182" customFormat="false" ht="15" hidden="false" customHeight="false" outlineLevel="0" collapsed="false">
      <c r="A182" s="3" t="str">
        <f aca="false">'Golden Dataset'!A179</f>
        <v>R-08161</v>
      </c>
      <c r="B182" s="3" t="str">
        <f aca="false">'Golden Dataset'!I179</f>
        <v>Honest: carrier lost parcel</v>
      </c>
      <c r="C182" s="3" t="n">
        <f aca="false">MIN(99,$M$5*'Golden Dataset'!E179+$M$6*'Golden Dataset'!F179+IF('Golden Dataset'!G179&lt;30,$M$7,0)+IF('Golden Dataset'!H179="No",$M$8,0))</f>
        <v>30</v>
      </c>
      <c r="D182" s="3" t="str">
        <f aca="false">IF(C182&gt;=$M$9,"Hold and review",IF(C182&gt;=$M$10,"Refund on carrier scan","Approve"))</f>
        <v>Refund on carrier scan</v>
      </c>
      <c r="E182" s="3" t="n">
        <f aca="false">IF(C182&gt;=$M$9,1,0)</f>
        <v>0</v>
      </c>
      <c r="F182" s="3" t="n">
        <f aca="false">IF(LEFT(B182,5)="Abuse",1,0)</f>
        <v>0</v>
      </c>
      <c r="G182" s="3" t="n">
        <f aca="false">IF(B182="Abuse: refund without return",1,0)</f>
        <v>0</v>
      </c>
      <c r="H182" s="3" t="str">
        <f aca="false">IF(E182=1,IF(F182=1,"Correct hold","False alarm"),IF(F182=1,"Missed","Correctly left alone"))</f>
        <v>Correctly left alone</v>
      </c>
    </row>
    <row r="183" customFormat="false" ht="15" hidden="false" customHeight="false" outlineLevel="0" collapsed="false">
      <c r="A183" s="3" t="str">
        <f aca="false">'Golden Dataset'!A180</f>
        <v>R-08188</v>
      </c>
      <c r="B183" s="3" t="str">
        <f aca="false">'Golden Dataset'!I180</f>
        <v>Honest</v>
      </c>
      <c r="C183" s="3" t="n">
        <f aca="false">MIN(99,$M$5*'Golden Dataset'!E180+$M$6*'Golden Dataset'!F180+IF('Golden Dataset'!G180&lt;30,$M$7,0)+IF('Golden Dataset'!H180="No",$M$8,0))</f>
        <v>12</v>
      </c>
      <c r="D183" s="3" t="str">
        <f aca="false">IF(C183&gt;=$M$9,"Hold and review",IF(C183&gt;=$M$10,"Refund on carrier scan","Approve"))</f>
        <v>Approve</v>
      </c>
      <c r="E183" s="3" t="n">
        <f aca="false">IF(C183&gt;=$M$9,1,0)</f>
        <v>0</v>
      </c>
      <c r="F183" s="3" t="n">
        <f aca="false">IF(LEFT(B183,5)="Abuse",1,0)</f>
        <v>0</v>
      </c>
      <c r="G183" s="3" t="n">
        <f aca="false">IF(B183="Abuse: refund without return",1,0)</f>
        <v>0</v>
      </c>
      <c r="H183" s="3" t="str">
        <f aca="false">IF(E183=1,IF(F183=1,"Correct hold","False alarm"),IF(F183=1,"Missed","Correctly left alone"))</f>
        <v>Correctly left alone</v>
      </c>
    </row>
    <row r="184" customFormat="false" ht="15" hidden="false" customHeight="false" outlineLevel="0" collapsed="false">
      <c r="A184" s="3" t="str">
        <f aca="false">'Golden Dataset'!A181</f>
        <v>R-08086</v>
      </c>
      <c r="B184" s="3" t="str">
        <f aca="false">'Golden Dataset'!I181</f>
        <v>Abuse: reseller ring</v>
      </c>
      <c r="C184" s="3" t="n">
        <f aca="false">MIN(99,$M$5*'Golden Dataset'!E181+$M$6*'Golden Dataset'!F181+IF('Golden Dataset'!G181&lt;30,$M$7,0)+IF('Golden Dataset'!H181="No",$M$8,0))</f>
        <v>99</v>
      </c>
      <c r="D184" s="3" t="str">
        <f aca="false">IF(C184&gt;=$M$9,"Hold and review",IF(C184&gt;=$M$10,"Refund on carrier scan","Approve"))</f>
        <v>Hold and review</v>
      </c>
      <c r="E184" s="3" t="n">
        <f aca="false">IF(C184&gt;=$M$9,1,0)</f>
        <v>1</v>
      </c>
      <c r="F184" s="3" t="n">
        <f aca="false">IF(LEFT(B184,5)="Abuse",1,0)</f>
        <v>1</v>
      </c>
      <c r="G184" s="3" t="n">
        <f aca="false">IF(B184="Abuse: refund without return",1,0)</f>
        <v>0</v>
      </c>
      <c r="H184" s="3" t="str">
        <f aca="false">IF(E184=1,IF(F184=1,"Correct hold","False alarm"),IF(F184=1,"Missed","Correctly left alone"))</f>
        <v>Correct hold</v>
      </c>
    </row>
    <row r="185" customFormat="false" ht="15" hidden="false" customHeight="false" outlineLevel="0" collapsed="false">
      <c r="A185" s="3" t="str">
        <f aca="false">'Golden Dataset'!A182</f>
        <v>R-08108</v>
      </c>
      <c r="B185" s="3" t="str">
        <f aca="false">'Golden Dataset'!I182</f>
        <v>Honest</v>
      </c>
      <c r="C185" s="3" t="n">
        <f aca="false">MIN(99,$M$5*'Golden Dataset'!E182+$M$6*'Golden Dataset'!F182+IF('Golden Dataset'!G182&lt;30,$M$7,0)+IF('Golden Dataset'!H182="No",$M$8,0))</f>
        <v>0</v>
      </c>
      <c r="D185" s="3" t="str">
        <f aca="false">IF(C185&gt;=$M$9,"Hold and review",IF(C185&gt;=$M$10,"Refund on carrier scan","Approve"))</f>
        <v>Approve</v>
      </c>
      <c r="E185" s="3" t="n">
        <f aca="false">IF(C185&gt;=$M$9,1,0)</f>
        <v>0</v>
      </c>
      <c r="F185" s="3" t="n">
        <f aca="false">IF(LEFT(B185,5)="Abuse",1,0)</f>
        <v>0</v>
      </c>
      <c r="G185" s="3" t="n">
        <f aca="false">IF(B185="Abuse: refund without return",1,0)</f>
        <v>0</v>
      </c>
      <c r="H185" s="3" t="str">
        <f aca="false">IF(E185=1,IF(F185=1,"Correct hold","False alarm"),IF(F185=1,"Missed","Correctly left alone"))</f>
        <v>Correctly left alone</v>
      </c>
    </row>
    <row r="186" customFormat="false" ht="15" hidden="false" customHeight="false" outlineLevel="0" collapsed="false">
      <c r="A186" s="3" t="str">
        <f aca="false">'Golden Dataset'!A183</f>
        <v>R-08134</v>
      </c>
      <c r="B186" s="3" t="str">
        <f aca="false">'Golden Dataset'!I183</f>
        <v>Honest: carrier lost parcel</v>
      </c>
      <c r="C186" s="3" t="n">
        <f aca="false">MIN(99,$M$5*'Golden Dataset'!E183+$M$6*'Golden Dataset'!F183+IF('Golden Dataset'!G183&lt;30,$M$7,0)+IF('Golden Dataset'!H183="No",$M$8,0))</f>
        <v>8</v>
      </c>
      <c r="D186" s="3" t="str">
        <f aca="false">IF(C186&gt;=$M$9,"Hold and review",IF(C186&gt;=$M$10,"Refund on carrier scan","Approve"))</f>
        <v>Approve</v>
      </c>
      <c r="E186" s="3" t="n">
        <f aca="false">IF(C186&gt;=$M$9,1,0)</f>
        <v>0</v>
      </c>
      <c r="F186" s="3" t="n">
        <f aca="false">IF(LEFT(B186,5)="Abuse",1,0)</f>
        <v>0</v>
      </c>
      <c r="G186" s="3" t="n">
        <f aca="false">IF(B186="Abuse: refund without return",1,0)</f>
        <v>0</v>
      </c>
      <c r="H186" s="3" t="str">
        <f aca="false">IF(E186=1,IF(F186=1,"Correct hold","False alarm"),IF(F186=1,"Missed","Correctly left alone"))</f>
        <v>Correctly left alone</v>
      </c>
    </row>
    <row r="187" customFormat="false" ht="15" hidden="false" customHeight="false" outlineLevel="0" collapsed="false">
      <c r="A187" s="3" t="str">
        <f aca="false">'Golden Dataset'!A184</f>
        <v>R-08162</v>
      </c>
      <c r="B187" s="3" t="str">
        <f aca="false">'Golden Dataset'!I184</f>
        <v>Honest: carrier lost parcel</v>
      </c>
      <c r="C187" s="3" t="n">
        <f aca="false">MIN(99,$M$5*'Golden Dataset'!E184+$M$6*'Golden Dataset'!F184+IF('Golden Dataset'!G184&lt;30,$M$7,0)+IF('Golden Dataset'!H184="No",$M$8,0))</f>
        <v>8</v>
      </c>
      <c r="D187" s="3" t="str">
        <f aca="false">IF(C187&gt;=$M$9,"Hold and review",IF(C187&gt;=$M$10,"Refund on carrier scan","Approve"))</f>
        <v>Approve</v>
      </c>
      <c r="E187" s="3" t="n">
        <f aca="false">IF(C187&gt;=$M$9,1,0)</f>
        <v>0</v>
      </c>
      <c r="F187" s="3" t="n">
        <f aca="false">IF(LEFT(B187,5)="Abuse",1,0)</f>
        <v>0</v>
      </c>
      <c r="G187" s="3" t="n">
        <f aca="false">IF(B187="Abuse: refund without return",1,0)</f>
        <v>0</v>
      </c>
      <c r="H187" s="3" t="str">
        <f aca="false">IF(E187=1,IF(F187=1,"Correct hold","False alarm"),IF(F187=1,"Missed","Correctly left alone"))</f>
        <v>Correctly left alone</v>
      </c>
    </row>
    <row r="188" customFormat="false" ht="15" hidden="false" customHeight="false" outlineLevel="0" collapsed="false">
      <c r="A188" s="3" t="str">
        <f aca="false">'Golden Dataset'!A185</f>
        <v>R-08154</v>
      </c>
      <c r="B188" s="3" t="str">
        <f aca="false">'Golden Dataset'!I185</f>
        <v>Honest</v>
      </c>
      <c r="C188" s="3" t="n">
        <f aca="false">MIN(99,$M$5*'Golden Dataset'!E185+$M$6*'Golden Dataset'!F185+IF('Golden Dataset'!G185&lt;30,$M$7,0)+IF('Golden Dataset'!H185="No",$M$8,0))</f>
        <v>22</v>
      </c>
      <c r="D188" s="3" t="str">
        <f aca="false">IF(C188&gt;=$M$9,"Hold and review",IF(C188&gt;=$M$10,"Refund on carrier scan","Approve"))</f>
        <v>Approve</v>
      </c>
      <c r="E188" s="3" t="n">
        <f aca="false">IF(C188&gt;=$M$9,1,0)</f>
        <v>0</v>
      </c>
      <c r="F188" s="3" t="n">
        <f aca="false">IF(LEFT(B188,5)="Abuse",1,0)</f>
        <v>0</v>
      </c>
      <c r="G188" s="3" t="n">
        <f aca="false">IF(B188="Abuse: refund without return",1,0)</f>
        <v>0</v>
      </c>
      <c r="H188" s="3" t="str">
        <f aca="false">IF(E188=1,IF(F188=1,"Correct hold","False alarm"),IF(F188=1,"Missed","Correctly left alone"))</f>
        <v>Correctly left alone</v>
      </c>
    </row>
    <row r="189" customFormat="false" ht="15" hidden="false" customHeight="false" outlineLevel="0" collapsed="false">
      <c r="A189" s="3" t="str">
        <f aca="false">'Golden Dataset'!A186</f>
        <v>R-08019</v>
      </c>
      <c r="B189" s="3" t="str">
        <f aca="false">'Golden Dataset'!I186</f>
        <v>Honest</v>
      </c>
      <c r="C189" s="3" t="n">
        <f aca="false">MIN(99,$M$5*'Golden Dataset'!E186+$M$6*'Golden Dataset'!F186+IF('Golden Dataset'!G186&lt;30,$M$7,0)+IF('Golden Dataset'!H186="No",$M$8,0))</f>
        <v>52</v>
      </c>
      <c r="D189" s="3" t="str">
        <f aca="false">IF(C189&gt;=$M$9,"Hold and review",IF(C189&gt;=$M$10,"Refund on carrier scan","Approve"))</f>
        <v>Refund on carrier scan</v>
      </c>
      <c r="E189" s="3" t="n">
        <f aca="false">IF(C189&gt;=$M$9,1,0)</f>
        <v>0</v>
      </c>
      <c r="F189" s="3" t="n">
        <f aca="false">IF(LEFT(B189,5)="Abuse",1,0)</f>
        <v>0</v>
      </c>
      <c r="G189" s="3" t="n">
        <f aca="false">IF(B189="Abuse: refund without return",1,0)</f>
        <v>0</v>
      </c>
      <c r="H189" s="3" t="str">
        <f aca="false">IF(E189=1,IF(F189=1,"Correct hold","False alarm"),IF(F189=1,"Missed","Correctly left alone"))</f>
        <v>Correctly left alone</v>
      </c>
    </row>
    <row r="190" customFormat="false" ht="15" hidden="false" customHeight="false" outlineLevel="0" collapsed="false">
      <c r="A190" s="3" t="str">
        <f aca="false">'Golden Dataset'!A187</f>
        <v>R-08089</v>
      </c>
      <c r="B190" s="3" t="str">
        <f aca="false">'Golden Dataset'!I187</f>
        <v>Honest</v>
      </c>
      <c r="C190" s="3" t="n">
        <f aca="false">MIN(99,$M$5*'Golden Dataset'!E187+$M$6*'Golden Dataset'!F187+IF('Golden Dataset'!G187&lt;30,$M$7,0)+IF('Golden Dataset'!H187="No",$M$8,0))</f>
        <v>0</v>
      </c>
      <c r="D190" s="3" t="str">
        <f aca="false">IF(C190&gt;=$M$9,"Hold and review",IF(C190&gt;=$M$10,"Refund on carrier scan","Approve"))</f>
        <v>Approve</v>
      </c>
      <c r="E190" s="3" t="n">
        <f aca="false">IF(C190&gt;=$M$9,1,0)</f>
        <v>0</v>
      </c>
      <c r="F190" s="3" t="n">
        <f aca="false">IF(LEFT(B190,5)="Abuse",1,0)</f>
        <v>0</v>
      </c>
      <c r="G190" s="3" t="n">
        <f aca="false">IF(B190="Abuse: refund without return",1,0)</f>
        <v>0</v>
      </c>
      <c r="H190" s="3" t="str">
        <f aca="false">IF(E190=1,IF(F190=1,"Correct hold","False alarm"),IF(F190=1,"Missed","Correctly left alone"))</f>
        <v>Correctly left alone</v>
      </c>
    </row>
    <row r="191" customFormat="false" ht="15" hidden="false" customHeight="false" outlineLevel="0" collapsed="false">
      <c r="A191" s="3" t="str">
        <f aca="false">'Golden Dataset'!A188</f>
        <v>R-08044</v>
      </c>
      <c r="B191" s="3" t="str">
        <f aca="false">'Golden Dataset'!I188</f>
        <v>Honest</v>
      </c>
      <c r="C191" s="3" t="n">
        <f aca="false">MIN(99,$M$5*'Golden Dataset'!E188+$M$6*'Golden Dataset'!F188+IF('Golden Dataset'!G188&lt;30,$M$7,0)+IF('Golden Dataset'!H188="No",$M$8,0))</f>
        <v>0</v>
      </c>
      <c r="D191" s="3" t="str">
        <f aca="false">IF(C191&gt;=$M$9,"Hold and review",IF(C191&gt;=$M$10,"Refund on carrier scan","Approve"))</f>
        <v>Approve</v>
      </c>
      <c r="E191" s="3" t="n">
        <f aca="false">IF(C191&gt;=$M$9,1,0)</f>
        <v>0</v>
      </c>
      <c r="F191" s="3" t="n">
        <f aca="false">IF(LEFT(B191,5)="Abuse",1,0)</f>
        <v>0</v>
      </c>
      <c r="G191" s="3" t="n">
        <f aca="false">IF(B191="Abuse: refund without return",1,0)</f>
        <v>0</v>
      </c>
      <c r="H191" s="3" t="str">
        <f aca="false">IF(E191=1,IF(F191=1,"Correct hold","False alarm"),IF(F191=1,"Missed","Correctly left alone"))</f>
        <v>Correctly left alone</v>
      </c>
    </row>
    <row r="192" customFormat="false" ht="15" hidden="false" customHeight="false" outlineLevel="0" collapsed="false">
      <c r="A192" s="3" t="str">
        <f aca="false">'Golden Dataset'!A189</f>
        <v>R-08100</v>
      </c>
      <c r="B192" s="3" t="str">
        <f aca="false">'Golden Dataset'!I189</f>
        <v>Honest</v>
      </c>
      <c r="C192" s="3" t="n">
        <f aca="false">MIN(99,$M$5*'Golden Dataset'!E189+$M$6*'Golden Dataset'!F189+IF('Golden Dataset'!G189&lt;30,$M$7,0)+IF('Golden Dataset'!H189="No",$M$8,0))</f>
        <v>0</v>
      </c>
      <c r="D192" s="3" t="str">
        <f aca="false">IF(C192&gt;=$M$9,"Hold and review",IF(C192&gt;=$M$10,"Refund on carrier scan","Approve"))</f>
        <v>Approve</v>
      </c>
      <c r="E192" s="3" t="n">
        <f aca="false">IF(C192&gt;=$M$9,1,0)</f>
        <v>0</v>
      </c>
      <c r="F192" s="3" t="n">
        <f aca="false">IF(LEFT(B192,5)="Abuse",1,0)</f>
        <v>0</v>
      </c>
      <c r="G192" s="3" t="n">
        <f aca="false">IF(B192="Abuse: refund without return",1,0)</f>
        <v>0</v>
      </c>
      <c r="H192" s="3" t="str">
        <f aca="false">IF(E192=1,IF(F192=1,"Correct hold","False alarm"),IF(F192=1,"Missed","Correctly left alone"))</f>
        <v>Correctly left alone</v>
      </c>
    </row>
    <row r="193" customFormat="false" ht="15" hidden="false" customHeight="false" outlineLevel="0" collapsed="false">
      <c r="A193" s="3" t="str">
        <f aca="false">'Golden Dataset'!A190</f>
        <v>R-08118</v>
      </c>
      <c r="B193" s="3" t="str">
        <f aca="false">'Golden Dataset'!I190</f>
        <v>Abuse: refund without return</v>
      </c>
      <c r="C193" s="3" t="n">
        <f aca="false">MIN(99,$M$5*'Golden Dataset'!E190+$M$6*'Golden Dataset'!F190+IF('Golden Dataset'!G190&lt;30,$M$7,0)+IF('Golden Dataset'!H190="No",$M$8,0))</f>
        <v>30</v>
      </c>
      <c r="D193" s="3" t="str">
        <f aca="false">IF(C193&gt;=$M$9,"Hold and review",IF(C193&gt;=$M$10,"Refund on carrier scan","Approve"))</f>
        <v>Refund on carrier scan</v>
      </c>
      <c r="E193" s="3" t="n">
        <f aca="false">IF(C193&gt;=$M$9,1,0)</f>
        <v>0</v>
      </c>
      <c r="F193" s="3" t="n">
        <f aca="false">IF(LEFT(B193,5)="Abuse",1,0)</f>
        <v>1</v>
      </c>
      <c r="G193" s="3" t="n">
        <f aca="false">IF(B193="Abuse: refund without return",1,0)</f>
        <v>1</v>
      </c>
      <c r="H193" s="3" t="str">
        <f aca="false">IF(E193=1,IF(F193=1,"Correct hold","False alarm"),IF(F193=1,"Missed","Correctly left alone"))</f>
        <v>Missed</v>
      </c>
    </row>
    <row r="194" customFormat="false" ht="15" hidden="false" customHeight="false" outlineLevel="0" collapsed="false">
      <c r="A194" s="3" t="str">
        <f aca="false">'Golden Dataset'!A191</f>
        <v>R-08131</v>
      </c>
      <c r="B194" s="3" t="str">
        <f aca="false">'Golden Dataset'!I191</f>
        <v>Honest: carrier lost parcel</v>
      </c>
      <c r="C194" s="3" t="n">
        <f aca="false">MIN(99,$M$5*'Golden Dataset'!E191+$M$6*'Golden Dataset'!F191+IF('Golden Dataset'!G191&lt;30,$M$7,0)+IF('Golden Dataset'!H191="No",$M$8,0))</f>
        <v>8</v>
      </c>
      <c r="D194" s="3" t="str">
        <f aca="false">IF(C194&gt;=$M$9,"Hold and review",IF(C194&gt;=$M$10,"Refund on carrier scan","Approve"))</f>
        <v>Approve</v>
      </c>
      <c r="E194" s="3" t="n">
        <f aca="false">IF(C194&gt;=$M$9,1,0)</f>
        <v>0</v>
      </c>
      <c r="F194" s="3" t="n">
        <f aca="false">IF(LEFT(B194,5)="Abuse",1,0)</f>
        <v>0</v>
      </c>
      <c r="G194" s="3" t="n">
        <f aca="false">IF(B194="Abuse: refund without return",1,0)</f>
        <v>0</v>
      </c>
      <c r="H194" s="3" t="str">
        <f aca="false">IF(E194=1,IF(F194=1,"Correct hold","False alarm"),IF(F194=1,"Missed","Correctly left alone"))</f>
        <v>Correctly left alone</v>
      </c>
    </row>
    <row r="195" customFormat="false" ht="15" hidden="false" customHeight="false" outlineLevel="0" collapsed="false">
      <c r="A195" s="3" t="str">
        <f aca="false">'Golden Dataset'!A192</f>
        <v>R-08002</v>
      </c>
      <c r="B195" s="3" t="str">
        <f aca="false">'Golden Dataset'!I192</f>
        <v>Honest</v>
      </c>
      <c r="C195" s="3" t="n">
        <f aca="false">MIN(99,$M$5*'Golden Dataset'!E192+$M$6*'Golden Dataset'!F192+IF('Golden Dataset'!G192&lt;30,$M$7,0)+IF('Golden Dataset'!H192="No",$M$8,0))</f>
        <v>0</v>
      </c>
      <c r="D195" s="3" t="str">
        <f aca="false">IF(C195&gt;=$M$9,"Hold and review",IF(C195&gt;=$M$10,"Refund on carrier scan","Approve"))</f>
        <v>Approve</v>
      </c>
      <c r="E195" s="3" t="n">
        <f aca="false">IF(C195&gt;=$M$9,1,0)</f>
        <v>0</v>
      </c>
      <c r="F195" s="3" t="n">
        <f aca="false">IF(LEFT(B195,5)="Abuse",1,0)</f>
        <v>0</v>
      </c>
      <c r="G195" s="3" t="n">
        <f aca="false">IF(B195="Abuse: refund without return",1,0)</f>
        <v>0</v>
      </c>
      <c r="H195" s="3" t="str">
        <f aca="false">IF(E195=1,IF(F195=1,"Correct hold","False alarm"),IF(F195=1,"Missed","Correctly left alone"))</f>
        <v>Correctly left alone</v>
      </c>
    </row>
    <row r="196" customFormat="false" ht="15" hidden="false" customHeight="false" outlineLevel="0" collapsed="false">
      <c r="A196" s="3" t="str">
        <f aca="false">'Golden Dataset'!A193</f>
        <v>R-08183</v>
      </c>
      <c r="B196" s="3" t="str">
        <f aca="false">'Golden Dataset'!I193</f>
        <v>Abuse: reseller ring</v>
      </c>
      <c r="C196" s="3" t="n">
        <f aca="false">MIN(99,$M$5*'Golden Dataset'!E193+$M$6*'Golden Dataset'!F193+IF('Golden Dataset'!G193&lt;30,$M$7,0)+IF('Golden Dataset'!H193="No",$M$8,0))</f>
        <v>99</v>
      </c>
      <c r="D196" s="3" t="str">
        <f aca="false">IF(C196&gt;=$M$9,"Hold and review",IF(C196&gt;=$M$10,"Refund on carrier scan","Approve"))</f>
        <v>Hold and review</v>
      </c>
      <c r="E196" s="3" t="n">
        <f aca="false">IF(C196&gt;=$M$9,1,0)</f>
        <v>1</v>
      </c>
      <c r="F196" s="3" t="n">
        <f aca="false">IF(LEFT(B196,5)="Abuse",1,0)</f>
        <v>1</v>
      </c>
      <c r="G196" s="3" t="n">
        <f aca="false">IF(B196="Abuse: refund without return",1,0)</f>
        <v>0</v>
      </c>
      <c r="H196" s="3" t="str">
        <f aca="false">IF(E196=1,IF(F196=1,"Correct hold","False alarm"),IF(F196=1,"Missed","Correctly left alone"))</f>
        <v>Correct hold</v>
      </c>
    </row>
    <row r="197" customFormat="false" ht="15" hidden="false" customHeight="false" outlineLevel="0" collapsed="false">
      <c r="A197" s="3" t="str">
        <f aca="false">'Golden Dataset'!A194</f>
        <v>R-08174</v>
      </c>
      <c r="B197" s="3" t="str">
        <f aca="false">'Golden Dataset'!I194</f>
        <v>Abuse: repeated damage claims</v>
      </c>
      <c r="C197" s="3" t="n">
        <f aca="false">MIN(99,$M$5*'Golden Dataset'!E194+$M$6*'Golden Dataset'!F194+IF('Golden Dataset'!G194&lt;30,$M$7,0)+IF('Golden Dataset'!H194="No",$M$8,0))</f>
        <v>8</v>
      </c>
      <c r="D197" s="3" t="str">
        <f aca="false">IF(C197&gt;=$M$9,"Hold and review",IF(C197&gt;=$M$10,"Refund on carrier scan","Approve"))</f>
        <v>Approve</v>
      </c>
      <c r="E197" s="3" t="n">
        <f aca="false">IF(C197&gt;=$M$9,1,0)</f>
        <v>0</v>
      </c>
      <c r="F197" s="3" t="n">
        <f aca="false">IF(LEFT(B197,5)="Abuse",1,0)</f>
        <v>1</v>
      </c>
      <c r="G197" s="3" t="n">
        <f aca="false">IF(B197="Abuse: refund without return",1,0)</f>
        <v>0</v>
      </c>
      <c r="H197" s="3" t="str">
        <f aca="false">IF(E197=1,IF(F197=1,"Correct hold","False alarm"),IF(F197=1,"Missed","Correctly left alone"))</f>
        <v>Missed</v>
      </c>
    </row>
    <row r="198" customFormat="false" ht="15" hidden="false" customHeight="false" outlineLevel="0" collapsed="false">
      <c r="A198" s="3" t="str">
        <f aca="false">'Golden Dataset'!A195</f>
        <v>R-08138</v>
      </c>
      <c r="B198" s="3" t="str">
        <f aca="false">'Golden Dataset'!I195</f>
        <v>Honest</v>
      </c>
      <c r="C198" s="3" t="n">
        <f aca="false">MIN(99,$M$5*'Golden Dataset'!E195+$M$6*'Golden Dataset'!F195+IF('Golden Dataset'!G195&lt;30,$M$7,0)+IF('Golden Dataset'!H195="No",$M$8,0))</f>
        <v>0</v>
      </c>
      <c r="D198" s="3" t="str">
        <f aca="false">IF(C198&gt;=$M$9,"Hold and review",IF(C198&gt;=$M$10,"Refund on carrier scan","Approve"))</f>
        <v>Approve</v>
      </c>
      <c r="E198" s="3" t="n">
        <f aca="false">IF(C198&gt;=$M$9,1,0)</f>
        <v>0</v>
      </c>
      <c r="F198" s="3" t="n">
        <f aca="false">IF(LEFT(B198,5)="Abuse",1,0)</f>
        <v>0</v>
      </c>
      <c r="G198" s="3" t="n">
        <f aca="false">IF(B198="Abuse: refund without return",1,0)</f>
        <v>0</v>
      </c>
      <c r="H198" s="3" t="str">
        <f aca="false">IF(E198=1,IF(F198=1,"Correct hold","False alarm"),IF(F198=1,"Missed","Correctly left alone"))</f>
        <v>Correctly left alone</v>
      </c>
    </row>
    <row r="199" customFormat="false" ht="15" hidden="false" customHeight="false" outlineLevel="0" collapsed="false">
      <c r="A199" s="3" t="str">
        <f aca="false">'Golden Dataset'!A196</f>
        <v>R-08109</v>
      </c>
      <c r="B199" s="3" t="str">
        <f aca="false">'Golden Dataset'!I196</f>
        <v>Honest</v>
      </c>
      <c r="C199" s="3" t="n">
        <f aca="false">MIN(99,$M$5*'Golden Dataset'!E196+$M$6*'Golden Dataset'!F196+IF('Golden Dataset'!G196&lt;30,$M$7,0)+IF('Golden Dataset'!H196="No",$M$8,0))</f>
        <v>0</v>
      </c>
      <c r="D199" s="3" t="str">
        <f aca="false">IF(C199&gt;=$M$9,"Hold and review",IF(C199&gt;=$M$10,"Refund on carrier scan","Approve"))</f>
        <v>Approve</v>
      </c>
      <c r="E199" s="3" t="n">
        <f aca="false">IF(C199&gt;=$M$9,1,0)</f>
        <v>0</v>
      </c>
      <c r="F199" s="3" t="n">
        <f aca="false">IF(LEFT(B199,5)="Abuse",1,0)</f>
        <v>0</v>
      </c>
      <c r="G199" s="3" t="n">
        <f aca="false">IF(B199="Abuse: refund without return",1,0)</f>
        <v>0</v>
      </c>
      <c r="H199" s="3" t="str">
        <f aca="false">IF(E199=1,IF(F199=1,"Correct hold","False alarm"),IF(F199=1,"Missed","Correctly left alone"))</f>
        <v>Correctly left alone</v>
      </c>
    </row>
    <row r="200" customFormat="false" ht="15" hidden="false" customHeight="false" outlineLevel="0" collapsed="false">
      <c r="A200" s="3" t="str">
        <f aca="false">'Golden Dataset'!A197</f>
        <v>R-08046</v>
      </c>
      <c r="B200" s="3" t="str">
        <f aca="false">'Golden Dataset'!I197</f>
        <v>Honest</v>
      </c>
      <c r="C200" s="3" t="n">
        <f aca="false">MIN(99,$M$5*'Golden Dataset'!E197+$M$6*'Golden Dataset'!F197+IF('Golden Dataset'!G197&lt;30,$M$7,0)+IF('Golden Dataset'!H197="No",$M$8,0))</f>
        <v>0</v>
      </c>
      <c r="D200" s="3" t="str">
        <f aca="false">IF(C200&gt;=$M$9,"Hold and review",IF(C200&gt;=$M$10,"Refund on carrier scan","Approve"))</f>
        <v>Approve</v>
      </c>
      <c r="E200" s="3" t="n">
        <f aca="false">IF(C200&gt;=$M$9,1,0)</f>
        <v>0</v>
      </c>
      <c r="F200" s="3" t="n">
        <f aca="false">IF(LEFT(B200,5)="Abuse",1,0)</f>
        <v>0</v>
      </c>
      <c r="G200" s="3" t="n">
        <f aca="false">IF(B200="Abuse: refund without return",1,0)</f>
        <v>0</v>
      </c>
      <c r="H200" s="3" t="str">
        <f aca="false">IF(E200=1,IF(F200=1,"Correct hold","False alarm"),IF(F200=1,"Missed","Correctly left alone"))</f>
        <v>Correctly left alone</v>
      </c>
    </row>
    <row r="201" customFormat="false" ht="15" hidden="false" customHeight="false" outlineLevel="0" collapsed="false">
      <c r="A201" s="3" t="str">
        <f aca="false">'Golden Dataset'!A198</f>
        <v>R-08029</v>
      </c>
      <c r="B201" s="3" t="str">
        <f aca="false">'Golden Dataset'!I198</f>
        <v>Abuse: refund without return</v>
      </c>
      <c r="C201" s="3" t="n">
        <f aca="false">MIN(99,$M$5*'Golden Dataset'!E198+$M$6*'Golden Dataset'!F198+IF('Golden Dataset'!G198&lt;30,$M$7,0)+IF('Golden Dataset'!H198="No",$M$8,0))</f>
        <v>99</v>
      </c>
      <c r="D201" s="3" t="str">
        <f aca="false">IF(C201&gt;=$M$9,"Hold and review",IF(C201&gt;=$M$10,"Refund on carrier scan","Approve"))</f>
        <v>Hold and review</v>
      </c>
      <c r="E201" s="3" t="n">
        <f aca="false">IF(C201&gt;=$M$9,1,0)</f>
        <v>1</v>
      </c>
      <c r="F201" s="3" t="n">
        <f aca="false">IF(LEFT(B201,5)="Abuse",1,0)</f>
        <v>1</v>
      </c>
      <c r="G201" s="3" t="n">
        <f aca="false">IF(B201="Abuse: refund without return",1,0)</f>
        <v>1</v>
      </c>
      <c r="H201" s="3" t="str">
        <f aca="false">IF(E201=1,IF(F201=1,"Correct hold","False alarm"),IF(F201=1,"Missed","Correctly left alone"))</f>
        <v>Correct hold</v>
      </c>
    </row>
    <row r="202" customFormat="false" ht="15" hidden="false" customHeight="false" outlineLevel="0" collapsed="false">
      <c r="A202" s="3" t="str">
        <f aca="false">'Golden Dataset'!A199</f>
        <v>R-08018</v>
      </c>
      <c r="B202" s="3" t="str">
        <f aca="false">'Golden Dataset'!I199</f>
        <v>Honest</v>
      </c>
      <c r="C202" s="3" t="n">
        <f aca="false">MIN(99,$M$5*'Golden Dataset'!E199+$M$6*'Golden Dataset'!F199+IF('Golden Dataset'!G199&lt;30,$M$7,0)+IF('Golden Dataset'!H199="No",$M$8,0))</f>
        <v>0</v>
      </c>
      <c r="D202" s="3" t="str">
        <f aca="false">IF(C202&gt;=$M$9,"Hold and review",IF(C202&gt;=$M$10,"Refund on carrier scan","Approve"))</f>
        <v>Approve</v>
      </c>
      <c r="E202" s="3" t="n">
        <f aca="false">IF(C202&gt;=$M$9,1,0)</f>
        <v>0</v>
      </c>
      <c r="F202" s="3" t="n">
        <f aca="false">IF(LEFT(B202,5)="Abuse",1,0)</f>
        <v>0</v>
      </c>
      <c r="G202" s="3" t="n">
        <f aca="false">IF(B202="Abuse: refund without return",1,0)</f>
        <v>0</v>
      </c>
      <c r="H202" s="3" t="str">
        <f aca="false">IF(E202=1,IF(F202=1,"Correct hold","False alarm"),IF(F202=1,"Missed","Correctly left alone"))</f>
        <v>Correctly left alone</v>
      </c>
    </row>
    <row r="203" customFormat="false" ht="15" hidden="false" customHeight="false" outlineLevel="0" collapsed="false">
      <c r="A203" s="3" t="str">
        <f aca="false">'Golden Dataset'!A200</f>
        <v>R-08087</v>
      </c>
      <c r="B203" s="3" t="str">
        <f aca="false">'Golden Dataset'!I200</f>
        <v>Honest</v>
      </c>
      <c r="C203" s="3" t="n">
        <f aca="false">MIN(99,$M$5*'Golden Dataset'!E200+$M$6*'Golden Dataset'!F200+IF('Golden Dataset'!G200&lt;30,$M$7,0)+IF('Golden Dataset'!H200="No",$M$8,0))</f>
        <v>0</v>
      </c>
      <c r="D203" s="3" t="str">
        <f aca="false">IF(C203&gt;=$M$9,"Hold and review",IF(C203&gt;=$M$10,"Refund on carrier scan","Approve"))</f>
        <v>Approve</v>
      </c>
      <c r="E203" s="3" t="n">
        <f aca="false">IF(C203&gt;=$M$9,1,0)</f>
        <v>0</v>
      </c>
      <c r="F203" s="3" t="n">
        <f aca="false">IF(LEFT(B203,5)="Abuse",1,0)</f>
        <v>0</v>
      </c>
      <c r="G203" s="3" t="n">
        <f aca="false">IF(B203="Abuse: refund without return",1,0)</f>
        <v>0</v>
      </c>
      <c r="H203" s="3" t="str">
        <f aca="false">IF(E203=1,IF(F203=1,"Correct hold","False alarm"),IF(F203=1,"Missed","Correctly left alone"))</f>
        <v>Correctly left alone</v>
      </c>
    </row>
    <row r="204" customFormat="false" ht="15" hidden="false" customHeight="false" outlineLevel="0" collapsed="false">
      <c r="A204" s="3" t="str">
        <f aca="false">'Golden Dataset'!A201</f>
        <v>R-08050</v>
      </c>
      <c r="B204" s="3" t="str">
        <f aca="false">'Golden Dataset'!I201</f>
        <v>Abuse: wear and return</v>
      </c>
      <c r="C204" s="3" t="n">
        <f aca="false">MIN(99,$M$5*'Golden Dataset'!E201+$M$6*'Golden Dataset'!F201+IF('Golden Dataset'!G201&lt;30,$M$7,0)+IF('Golden Dataset'!H201="No",$M$8,0))</f>
        <v>0</v>
      </c>
      <c r="D204" s="3" t="str">
        <f aca="false">IF(C204&gt;=$M$9,"Hold and review",IF(C204&gt;=$M$10,"Refund on carrier scan","Approve"))</f>
        <v>Approve</v>
      </c>
      <c r="E204" s="3" t="n">
        <f aca="false">IF(C204&gt;=$M$9,1,0)</f>
        <v>0</v>
      </c>
      <c r="F204" s="3" t="n">
        <f aca="false">IF(LEFT(B204,5)="Abuse",1,0)</f>
        <v>1</v>
      </c>
      <c r="G204" s="3" t="n">
        <f aca="false">IF(B204="Abuse: refund without return",1,0)</f>
        <v>0</v>
      </c>
      <c r="H204" s="3" t="str">
        <f aca="false">IF(E204=1,IF(F204=1,"Correct hold","False alarm"),IF(F204=1,"Missed","Correctly left alone"))</f>
        <v>Missed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2026-10-25T00:00:14Z</dcterms:created>
  <dc:creator>openpyxl</dc:creator>
  <dc:description/>
  <dc:language>en-US</dc:language>
  <cp:lastModifiedBy/>
  <dcterms:modified xsi:type="dcterms:W3CDTF">2026-10-25T00:00:14Z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